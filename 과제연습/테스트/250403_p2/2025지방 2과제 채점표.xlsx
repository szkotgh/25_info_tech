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4070ti\Downloads\250403_p2\"/>
    </mc:Choice>
  </mc:AlternateContent>
  <xr:revisionPtr revIDLastSave="0" documentId="13_ncr:1_{31F5714B-F293-4627-8E8C-1E8807257F11}" xr6:coauthVersionLast="47" xr6:coauthVersionMax="47" xr10:uidLastSave="{00000000-0000-0000-0000-000000000000}"/>
  <bookViews>
    <workbookView xWindow="7815" yWindow="5085" windowWidth="29895" windowHeight="15345" xr2:uid="{00000000-000D-0000-FFFF-FFFF00000000}"/>
  </bookViews>
  <sheets>
    <sheet name="세부채점표" sheetId="4" r:id="rId1"/>
    <sheet name="전산용" sheetId="8" r:id="rId2"/>
    <sheet name="게시용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7" l="1"/>
  <c r="E10" i="7"/>
  <c r="E11" i="7"/>
  <c r="E12" i="7"/>
  <c r="E13" i="7"/>
  <c r="E25" i="7"/>
  <c r="E31" i="7"/>
  <c r="E37" i="7"/>
  <c r="E38" i="7"/>
  <c r="E40" i="7"/>
  <c r="E48" i="7"/>
  <c r="E55" i="7"/>
  <c r="E59" i="7"/>
  <c r="E34" i="8"/>
  <c r="E35" i="7" s="1"/>
  <c r="E62" i="8"/>
  <c r="E63" i="8" s="1"/>
  <c r="E64" i="7" s="1"/>
  <c r="F62" i="7" s="1"/>
  <c r="E61" i="8"/>
  <c r="E62" i="7" s="1"/>
  <c r="E59" i="8"/>
  <c r="E60" i="7" s="1"/>
  <c r="E58" i="8"/>
  <c r="E57" i="8"/>
  <c r="E60" i="8" s="1"/>
  <c r="E61" i="7" s="1"/>
  <c r="F58" i="7" s="1"/>
  <c r="E53" i="8"/>
  <c r="E54" i="7" s="1"/>
  <c r="E54" i="8"/>
  <c r="E55" i="8"/>
  <c r="E56" i="7" s="1"/>
  <c r="E52" i="8"/>
  <c r="E53" i="7" s="1"/>
  <c r="E51" i="8"/>
  <c r="E52" i="7" s="1"/>
  <c r="E46" i="8"/>
  <c r="E47" i="7" s="1"/>
  <c r="E47" i="8"/>
  <c r="E48" i="8"/>
  <c r="E49" i="7" s="1"/>
  <c r="E45" i="8"/>
  <c r="E46" i="7" s="1"/>
  <c r="E49" i="8"/>
  <c r="E50" i="7" s="1"/>
  <c r="E42" i="8"/>
  <c r="E43" i="7" s="1"/>
  <c r="E37" i="8"/>
  <c r="E38" i="8"/>
  <c r="E39" i="7" s="1"/>
  <c r="E39" i="8"/>
  <c r="E36" i="8"/>
  <c r="E23" i="8"/>
  <c r="E24" i="7" s="1"/>
  <c r="E24" i="8"/>
  <c r="E25" i="8"/>
  <c r="E26" i="7" s="1"/>
  <c r="E26" i="8"/>
  <c r="E27" i="7" s="1"/>
  <c r="E27" i="8"/>
  <c r="E28" i="7" s="1"/>
  <c r="E28" i="8"/>
  <c r="E29" i="7" s="1"/>
  <c r="E29" i="8"/>
  <c r="E30" i="7" s="1"/>
  <c r="E30" i="8"/>
  <c r="E22" i="8"/>
  <c r="E23" i="7" s="1"/>
  <c r="E19" i="8"/>
  <c r="E20" i="7" s="1"/>
  <c r="E7" i="8"/>
  <c r="E8" i="7" s="1"/>
  <c r="E8" i="8"/>
  <c r="E9" i="7" s="1"/>
  <c r="E9" i="8"/>
  <c r="E10" i="8"/>
  <c r="E11" i="8"/>
  <c r="E12" i="8"/>
  <c r="E13" i="8"/>
  <c r="E14" i="7" s="1"/>
  <c r="E14" i="8"/>
  <c r="E15" i="7" s="1"/>
  <c r="E15" i="8"/>
  <c r="E16" i="7" s="1"/>
  <c r="E16" i="8"/>
  <c r="E17" i="7" s="1"/>
  <c r="E17" i="8"/>
  <c r="E18" i="7" s="1"/>
  <c r="E6" i="8"/>
  <c r="E7" i="7" s="1"/>
  <c r="E3" i="8"/>
  <c r="E4" i="7" s="1"/>
  <c r="E4" i="8"/>
  <c r="E2" i="8"/>
  <c r="E3" i="7" s="1"/>
  <c r="E43" i="8"/>
  <c r="E44" i="7" s="1"/>
  <c r="E41" i="8"/>
  <c r="E42" i="7" s="1"/>
  <c r="E33" i="8"/>
  <c r="E34" i="7" s="1"/>
  <c r="E32" i="8"/>
  <c r="E33" i="7" s="1"/>
  <c r="E20" i="8"/>
  <c r="E21" i="7" s="1"/>
  <c r="O63" i="8"/>
  <c r="N63" i="8"/>
  <c r="M63" i="8"/>
  <c r="L63" i="8"/>
  <c r="K63" i="8"/>
  <c r="J63" i="8"/>
  <c r="I63" i="8"/>
  <c r="H63" i="8"/>
  <c r="G63" i="8"/>
  <c r="F63" i="8"/>
  <c r="O60" i="8"/>
  <c r="N60" i="8"/>
  <c r="M60" i="8"/>
  <c r="L60" i="8"/>
  <c r="K60" i="8"/>
  <c r="J60" i="8"/>
  <c r="I60" i="8"/>
  <c r="H60" i="8"/>
  <c r="G60" i="8"/>
  <c r="F60" i="8"/>
  <c r="O56" i="8"/>
  <c r="N56" i="8"/>
  <c r="M56" i="8"/>
  <c r="L56" i="8"/>
  <c r="K56" i="8"/>
  <c r="J56" i="8"/>
  <c r="I56" i="8"/>
  <c r="H56" i="8"/>
  <c r="G56" i="8"/>
  <c r="F56" i="8"/>
  <c r="O50" i="8"/>
  <c r="N50" i="8"/>
  <c r="M50" i="8"/>
  <c r="L50" i="8"/>
  <c r="K50" i="8"/>
  <c r="J50" i="8"/>
  <c r="I50" i="8"/>
  <c r="H50" i="8"/>
  <c r="G50" i="8"/>
  <c r="F50" i="8"/>
  <c r="O44" i="8"/>
  <c r="N44" i="8"/>
  <c r="M44" i="8"/>
  <c r="L44" i="8"/>
  <c r="K44" i="8"/>
  <c r="J44" i="8"/>
  <c r="I44" i="8"/>
  <c r="H44" i="8"/>
  <c r="G44" i="8"/>
  <c r="F44" i="8"/>
  <c r="O40" i="8"/>
  <c r="N40" i="8"/>
  <c r="M40" i="8"/>
  <c r="L40" i="8"/>
  <c r="K40" i="8"/>
  <c r="J40" i="8"/>
  <c r="I40" i="8"/>
  <c r="H40" i="8"/>
  <c r="G40" i="8"/>
  <c r="F40" i="8"/>
  <c r="O35" i="8"/>
  <c r="N35" i="8"/>
  <c r="M35" i="8"/>
  <c r="L35" i="8"/>
  <c r="K35" i="8"/>
  <c r="J35" i="8"/>
  <c r="I35" i="8"/>
  <c r="H35" i="8"/>
  <c r="G35" i="8"/>
  <c r="F35" i="8"/>
  <c r="O31" i="8"/>
  <c r="N31" i="8"/>
  <c r="M31" i="8"/>
  <c r="L31" i="8"/>
  <c r="K31" i="8"/>
  <c r="J31" i="8"/>
  <c r="I31" i="8"/>
  <c r="H31" i="8"/>
  <c r="G31" i="8"/>
  <c r="F31" i="8"/>
  <c r="O21" i="8"/>
  <c r="N21" i="8"/>
  <c r="M21" i="8"/>
  <c r="L21" i="8"/>
  <c r="K21" i="8"/>
  <c r="J21" i="8"/>
  <c r="I21" i="8"/>
  <c r="H21" i="8"/>
  <c r="G21" i="8"/>
  <c r="F21" i="8"/>
  <c r="O18" i="8"/>
  <c r="N18" i="8"/>
  <c r="M18" i="8"/>
  <c r="L18" i="8"/>
  <c r="K18" i="8"/>
  <c r="J18" i="8"/>
  <c r="I18" i="8"/>
  <c r="H18" i="8"/>
  <c r="G18" i="8"/>
  <c r="F18" i="8"/>
  <c r="O5" i="8"/>
  <c r="N5" i="8"/>
  <c r="M5" i="8"/>
  <c r="L5" i="8"/>
  <c r="K5" i="8"/>
  <c r="J5" i="8"/>
  <c r="I5" i="8"/>
  <c r="H5" i="8"/>
  <c r="G5" i="8"/>
  <c r="F5" i="8"/>
  <c r="O86" i="4"/>
  <c r="N86" i="4"/>
  <c r="M86" i="4"/>
  <c r="L86" i="4"/>
  <c r="K86" i="4"/>
  <c r="J86" i="4"/>
  <c r="I86" i="4"/>
  <c r="H86" i="4"/>
  <c r="G86" i="4"/>
  <c r="F86" i="4"/>
  <c r="E86" i="4"/>
  <c r="E71" i="4"/>
  <c r="E51" i="4"/>
  <c r="E34" i="4"/>
  <c r="E18" i="4"/>
  <c r="E58" i="7" l="1"/>
  <c r="E63" i="7"/>
  <c r="E56" i="8"/>
  <c r="E57" i="7" s="1"/>
  <c r="F52" i="7" s="1"/>
  <c r="E40" i="8"/>
  <c r="E41" i="7" s="1"/>
  <c r="F37" i="7" s="1"/>
  <c r="E50" i="8"/>
  <c r="E51" i="7" s="1"/>
  <c r="F46" i="7" s="1"/>
  <c r="E21" i="8"/>
  <c r="E22" i="7" s="1"/>
  <c r="F20" i="7" s="1"/>
  <c r="E31" i="8"/>
  <c r="E32" i="7" s="1"/>
  <c r="F23" i="7" s="1"/>
  <c r="E18" i="8"/>
  <c r="E19" i="7" s="1"/>
  <c r="E5" i="8"/>
  <c r="E6" i="7" s="1"/>
  <c r="F3" i="7" s="1"/>
  <c r="E44" i="8"/>
  <c r="E45" i="7" s="1"/>
  <c r="F42" i="7" s="1"/>
  <c r="F64" i="8"/>
  <c r="N64" i="8"/>
  <c r="G64" i="8"/>
  <c r="E35" i="8"/>
  <c r="E36" i="7" s="1"/>
  <c r="F33" i="7" s="1"/>
  <c r="O64" i="8"/>
  <c r="H64" i="8"/>
  <c r="I64" i="8"/>
  <c r="J64" i="8"/>
  <c r="K64" i="8"/>
  <c r="L64" i="8"/>
  <c r="M64" i="8"/>
  <c r="F7" i="7" l="1"/>
  <c r="E64" i="8"/>
  <c r="E65" i="7" s="1"/>
  <c r="F65" i="7" s="1"/>
  <c r="E5" i="4"/>
  <c r="F83" i="4"/>
  <c r="F78" i="4"/>
  <c r="F71" i="4"/>
  <c r="F62" i="4"/>
  <c r="F56" i="4"/>
  <c r="F51" i="4"/>
  <c r="F34" i="4"/>
  <c r="F24" i="4"/>
  <c r="F18" i="4"/>
  <c r="F5" i="4"/>
  <c r="F87" i="4" l="1"/>
  <c r="O83" i="4"/>
  <c r="N83" i="4"/>
  <c r="M83" i="4"/>
  <c r="L83" i="4"/>
  <c r="K83" i="4"/>
  <c r="J83" i="4"/>
  <c r="I83" i="4"/>
  <c r="H83" i="4"/>
  <c r="G83" i="4"/>
  <c r="E83" i="4"/>
  <c r="O78" i="4"/>
  <c r="N78" i="4"/>
  <c r="M78" i="4"/>
  <c r="L78" i="4"/>
  <c r="K78" i="4"/>
  <c r="J78" i="4"/>
  <c r="I78" i="4"/>
  <c r="H78" i="4"/>
  <c r="G78" i="4"/>
  <c r="E78" i="4"/>
  <c r="O71" i="4"/>
  <c r="N71" i="4"/>
  <c r="M71" i="4"/>
  <c r="L71" i="4"/>
  <c r="K71" i="4"/>
  <c r="J71" i="4"/>
  <c r="I71" i="4"/>
  <c r="H71" i="4"/>
  <c r="G71" i="4"/>
  <c r="O62" i="4"/>
  <c r="N62" i="4"/>
  <c r="M62" i="4"/>
  <c r="L62" i="4"/>
  <c r="K62" i="4"/>
  <c r="J62" i="4"/>
  <c r="I62" i="4"/>
  <c r="H62" i="4"/>
  <c r="G62" i="4"/>
  <c r="E62" i="4"/>
  <c r="O56" i="4"/>
  <c r="N56" i="4"/>
  <c r="M56" i="4"/>
  <c r="L56" i="4"/>
  <c r="K56" i="4"/>
  <c r="J56" i="4"/>
  <c r="I56" i="4"/>
  <c r="H56" i="4"/>
  <c r="G56" i="4"/>
  <c r="E56" i="4"/>
  <c r="O51" i="4"/>
  <c r="N51" i="4"/>
  <c r="M51" i="4"/>
  <c r="L51" i="4"/>
  <c r="K51" i="4"/>
  <c r="J51" i="4"/>
  <c r="I51" i="4"/>
  <c r="H51" i="4"/>
  <c r="G51" i="4"/>
  <c r="O34" i="4"/>
  <c r="N34" i="4"/>
  <c r="M34" i="4"/>
  <c r="L34" i="4"/>
  <c r="K34" i="4"/>
  <c r="J34" i="4"/>
  <c r="I34" i="4"/>
  <c r="H34" i="4"/>
  <c r="G34" i="4"/>
  <c r="O24" i="4"/>
  <c r="N24" i="4"/>
  <c r="M24" i="4"/>
  <c r="L24" i="4"/>
  <c r="K24" i="4"/>
  <c r="J24" i="4"/>
  <c r="I24" i="4"/>
  <c r="H24" i="4"/>
  <c r="G24" i="4"/>
  <c r="E24" i="4"/>
  <c r="O18" i="4"/>
  <c r="N18" i="4"/>
  <c r="M18" i="4"/>
  <c r="L18" i="4"/>
  <c r="K18" i="4"/>
  <c r="J18" i="4"/>
  <c r="I18" i="4"/>
  <c r="H18" i="4"/>
  <c r="G18" i="4"/>
  <c r="O5" i="4"/>
  <c r="N5" i="4"/>
  <c r="M5" i="4"/>
  <c r="L5" i="4"/>
  <c r="K5" i="4"/>
  <c r="J5" i="4"/>
  <c r="I5" i="4"/>
  <c r="H5" i="4"/>
  <c r="G5" i="4"/>
  <c r="G87" i="4" s="1"/>
  <c r="J87" i="4" l="1"/>
  <c r="M87" i="4"/>
  <c r="I87" i="4"/>
  <c r="O87" i="4"/>
  <c r="H87" i="4"/>
  <c r="K87" i="4"/>
  <c r="L87" i="4"/>
  <c r="N87" i="4"/>
  <c r="E87" i="4"/>
</calcChain>
</file>

<file path=xl/sharedStrings.xml><?xml version="1.0" encoding="utf-8"?>
<sst xmlns="http://schemas.openxmlformats.org/spreadsheetml/2006/main" count="289" uniqueCount="105">
  <si>
    <t>배점</t>
    <phoneticPr fontId="1" type="noConversion"/>
  </si>
  <si>
    <t>항목</t>
    <phoneticPr fontId="1" type="noConversion"/>
  </si>
  <si>
    <t>세부항목</t>
    <phoneticPr fontId="1" type="noConversion"/>
  </si>
  <si>
    <t>문제</t>
    <phoneticPr fontId="1" type="noConversion"/>
  </si>
  <si>
    <t>소계</t>
    <phoneticPr fontId="1" type="noConversion"/>
  </si>
  <si>
    <t>공통사항</t>
    <phoneticPr fontId="1" type="noConversion"/>
  </si>
  <si>
    <t>총계</t>
    <phoneticPr fontId="1" type="noConversion"/>
  </si>
  <si>
    <t>경고 메시지/정보 메시지</t>
    <phoneticPr fontId="1" type="noConversion"/>
  </si>
  <si>
    <t>폼 디자인</t>
    <phoneticPr fontId="1" type="noConversion"/>
  </si>
  <si>
    <t>메인 폼</t>
    <phoneticPr fontId="1" type="noConversion"/>
  </si>
  <si>
    <t>로그인</t>
  </si>
  <si>
    <t>빈칸제어</t>
  </si>
  <si>
    <t>폼 디자인</t>
  </si>
  <si>
    <t>마이페이지</t>
  </si>
  <si>
    <t>폼이동</t>
  </si>
  <si>
    <t>2025지방 2과제 채점기준</t>
  </si>
  <si>
    <t>문제 1-1</t>
  </si>
  <si>
    <t>상품, 회원이미지 blob</t>
  </si>
  <si>
    <t>로고 메인 이동 (폼 10개)</t>
  </si>
  <si>
    <t>디자인</t>
  </si>
  <si>
    <t>상품 글자 15자이상 …</t>
    <phoneticPr fontId="1" type="noConversion"/>
  </si>
  <si>
    <t>할인율 계산</t>
    <phoneticPr fontId="1" type="noConversion"/>
  </si>
  <si>
    <t>상품 클릭 제어 (로그인전 / 로그인후 이동)</t>
  </si>
  <si>
    <t>가격순(↓), 가격순(↑), 별점순(↓) 버튼 제어</t>
    <phoneticPr fontId="1" type="noConversion"/>
  </si>
  <si>
    <t>유저 이미지 클릭  관리폼 이동</t>
  </si>
  <si>
    <t>검색 빈칸 - 전체</t>
  </si>
  <si>
    <t>검색시 2개이상 카테고리시 전체 제어</t>
  </si>
  <si>
    <t>검색시 1개 카테고리 트리 제어</t>
  </si>
  <si>
    <t>로그인시 처리</t>
  </si>
  <si>
    <t>전체클릭시 전체 제어</t>
  </si>
  <si>
    <t>카테고리 클릭시 검색</t>
  </si>
  <si>
    <t>문제 1-2</t>
  </si>
  <si>
    <t>미 일치 제어</t>
  </si>
  <si>
    <t xml:space="preserve">일치 제어 </t>
  </si>
  <si>
    <t>문제 1-3</t>
  </si>
  <si>
    <t>상품</t>
  </si>
  <si>
    <t>폼디자인</t>
  </si>
  <si>
    <t>사이즈 제어</t>
  </si>
  <si>
    <t>서브카테고리 클릭</t>
  </si>
  <si>
    <t>서브 클릭시 초기와</t>
  </si>
  <si>
    <t>할은금액 계산</t>
  </si>
  <si>
    <t>구매버튼 제어</t>
  </si>
  <si>
    <t>장바구니 제어</t>
  </si>
  <si>
    <t>별점</t>
  </si>
  <si>
    <t>20글자 이상...</t>
  </si>
  <si>
    <t>문제 1-4</t>
  </si>
  <si>
    <t>정보수정 디자인</t>
  </si>
  <si>
    <t>충전하기 이동</t>
  </si>
  <si>
    <t>이미지 저장</t>
  </si>
  <si>
    <t>미수정 제어</t>
  </si>
  <si>
    <t>생년월일 제어</t>
  </si>
  <si>
    <t>정보수정 DB</t>
  </si>
  <si>
    <t>구매목록 디자인</t>
  </si>
  <si>
    <t>팝업메뉴 및 이동</t>
  </si>
  <si>
    <t>장바구니 디자인</t>
  </si>
  <si>
    <t xml:space="preserve">팝업메뉴 </t>
  </si>
  <si>
    <t>삭제 db</t>
  </si>
  <si>
    <t>구매하기 버튼 이동</t>
  </si>
  <si>
    <t>검색 실행</t>
  </si>
  <si>
    <t>로그인 회원 정보</t>
  </si>
  <si>
    <t>로그인 구매목록 정보</t>
  </si>
  <si>
    <t>로그인 장바구니 정보</t>
  </si>
  <si>
    <t>문제 1-5</t>
  </si>
  <si>
    <t>충전</t>
  </si>
  <si>
    <t>- + 버튼</t>
    <phoneticPr fontId="1" type="noConversion"/>
  </si>
  <si>
    <t>DB 수정</t>
    <phoneticPr fontId="1" type="noConversion"/>
  </si>
  <si>
    <t>취소버튼 제어</t>
  </si>
  <si>
    <t>문제 1-6</t>
  </si>
  <si>
    <t>리뷰등록</t>
  </si>
  <si>
    <t>별점제어</t>
  </si>
  <si>
    <t>저장 버튼 빈카제어</t>
  </si>
  <si>
    <t>저장 db</t>
  </si>
  <si>
    <t xml:space="preserve">상품 정보 </t>
  </si>
  <si>
    <t>문제 1-7</t>
  </si>
  <si>
    <t>상품등록</t>
  </si>
  <si>
    <t>서브카테고리 제어</t>
  </si>
  <si>
    <t>카테고리 등록 db</t>
  </si>
  <si>
    <t xml:space="preserve">이미지 선택창 </t>
  </si>
  <si>
    <t>상품등록 db</t>
  </si>
  <si>
    <t>문제 1-8</t>
  </si>
  <si>
    <t>결제</t>
  </si>
  <si>
    <t>결제 정보 업로드</t>
  </si>
  <si>
    <t>전체선택 제어</t>
  </si>
  <si>
    <t>결제금액 계산</t>
  </si>
  <si>
    <t>잔액 부족 충전폼</t>
  </si>
  <si>
    <t>결제완료 실행 db(user금액, 장바구니삭제, 구매목록추가)</t>
  </si>
  <si>
    <t>문제 1-9</t>
  </si>
  <si>
    <t>리뷰</t>
  </si>
  <si>
    <t>정보 업로드</t>
  </si>
  <si>
    <t>구매날짜별 정롤</t>
  </si>
  <si>
    <t>닫기</t>
  </si>
  <si>
    <t>문제 1-10</t>
  </si>
  <si>
    <t>관리</t>
  </si>
  <si>
    <t>각 버튼 이동</t>
  </si>
  <si>
    <t>로고 메인 이동 (폼 9개)</t>
  </si>
  <si>
    <t>로그인 제어</t>
  </si>
  <si>
    <t xml:space="preserve">정보수정  </t>
  </si>
  <si>
    <t>구매목록</t>
  </si>
  <si>
    <t>장바구니</t>
  </si>
  <si>
    <t xml:space="preserve">저장 </t>
  </si>
  <si>
    <t xml:space="preserve">상품등록  </t>
  </si>
  <si>
    <t>구매날짜별 정렬</t>
  </si>
  <si>
    <t>상품이미지, 회원이미지 blbo</t>
  </si>
  <si>
    <t>디자인 및 상품 업로드</t>
  </si>
  <si>
    <t>폼디자인 및 정보업로드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</si>
</sst>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"/>
    <numFmt numFmtId="177" formatCode="0.0_);[Red]\(0.0\)"/>
    <numFmt numFmtId="178" formatCode="#\)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0"/>
      <color theme="1"/>
      <name val="HY견고딕"/>
      <family val="1"/>
      <charset val="129"/>
    </font>
    <font>
      <sz val="11"/>
      <color theme="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/>
  </cellStyleXfs>
  <cellXfs count="4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7" fontId="0" fillId="4" borderId="1" xfId="0" applyNumberForma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quotePrefix="1" applyBorder="1">
      <alignment vertical="center"/>
    </xf>
    <xf numFmtId="176" fontId="0" fillId="0" borderId="1" xfId="1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0" fillId="0" borderId="1" xfId="1" applyNumberFormat="1" applyFont="1" applyFill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/>
        <color rgb="FFFF0000"/>
      </font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7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15" sqref="D15"/>
    </sheetView>
  </sheetViews>
  <sheetFormatPr defaultColWidth="9" defaultRowHeight="18.95" customHeight="1" outlineLevelRow="1" x14ac:dyDescent="0.3"/>
  <cols>
    <col min="1" max="1" width="9.125" style="2" bestFit="1" customWidth="1"/>
    <col min="2" max="2" width="14.625" style="2" customWidth="1"/>
    <col min="3" max="3" width="3.625" style="10" customWidth="1"/>
    <col min="4" max="4" width="50.75" customWidth="1"/>
    <col min="5" max="5" width="10.25" style="22" bestFit="1" customWidth="1"/>
    <col min="6" max="15" width="6.625" style="1" customWidth="1"/>
  </cols>
  <sheetData>
    <row r="1" spans="1:15" s="1" customFormat="1" ht="18.95" customHeight="1" x14ac:dyDescent="0.3">
      <c r="A1" s="9" t="s">
        <v>3</v>
      </c>
      <c r="B1" s="9" t="s">
        <v>1</v>
      </c>
      <c r="C1" s="37" t="s">
        <v>2</v>
      </c>
      <c r="D1" s="37"/>
      <c r="E1" s="9" t="s">
        <v>0</v>
      </c>
      <c r="F1" s="9">
        <v>1</v>
      </c>
      <c r="G1" s="9">
        <v>2</v>
      </c>
      <c r="H1" s="9">
        <v>3</v>
      </c>
      <c r="I1" s="9">
        <v>4</v>
      </c>
      <c r="J1" s="9">
        <v>5</v>
      </c>
      <c r="K1" s="9">
        <v>6</v>
      </c>
      <c r="L1" s="9">
        <v>7</v>
      </c>
      <c r="M1" s="9">
        <v>8</v>
      </c>
      <c r="N1" s="9">
        <v>9</v>
      </c>
      <c r="O1" s="9">
        <v>10</v>
      </c>
    </row>
    <row r="2" spans="1:15" ht="18.95" customHeight="1" outlineLevel="1" x14ac:dyDescent="0.3">
      <c r="A2" s="38"/>
      <c r="B2" s="38" t="s">
        <v>5</v>
      </c>
      <c r="C2" s="11">
        <v>1</v>
      </c>
      <c r="D2" s="12" t="s">
        <v>18</v>
      </c>
      <c r="E2" s="19">
        <v>1</v>
      </c>
      <c r="F2" s="3"/>
      <c r="G2" s="3"/>
      <c r="H2" s="3"/>
      <c r="I2" s="4"/>
      <c r="J2" s="4"/>
      <c r="K2" s="4"/>
      <c r="L2" s="4"/>
      <c r="M2" s="4"/>
      <c r="N2" s="4"/>
      <c r="O2" s="4"/>
    </row>
    <row r="3" spans="1:15" ht="18.95" customHeight="1" outlineLevel="1" x14ac:dyDescent="0.3">
      <c r="A3" s="39"/>
      <c r="B3" s="39"/>
      <c r="C3" s="16">
        <v>2</v>
      </c>
      <c r="D3" s="13" t="s">
        <v>7</v>
      </c>
      <c r="E3" s="20">
        <v>0.2</v>
      </c>
      <c r="F3" s="14"/>
      <c r="G3" s="14"/>
      <c r="H3" s="14"/>
      <c r="I3" s="15"/>
      <c r="J3" s="15"/>
      <c r="K3" s="15"/>
      <c r="L3" s="15"/>
      <c r="M3" s="15"/>
      <c r="N3" s="15"/>
      <c r="O3" s="15"/>
    </row>
    <row r="4" spans="1:15" ht="18.95" customHeight="1" outlineLevel="1" x14ac:dyDescent="0.3">
      <c r="A4" s="40"/>
      <c r="B4" s="40"/>
      <c r="C4" s="11">
        <v>3</v>
      </c>
      <c r="D4" s="12" t="s">
        <v>102</v>
      </c>
      <c r="E4" s="19">
        <v>1</v>
      </c>
      <c r="F4" s="3"/>
      <c r="G4" s="3"/>
      <c r="H4" s="3"/>
      <c r="I4" s="4"/>
      <c r="J4" s="4"/>
      <c r="K4" s="4"/>
      <c r="L4" s="4"/>
      <c r="M4" s="4"/>
      <c r="N4" s="4"/>
      <c r="O4" s="4"/>
    </row>
    <row r="5" spans="1:15" ht="18.95" customHeight="1" x14ac:dyDescent="0.3">
      <c r="A5" s="31" t="s">
        <v>4</v>
      </c>
      <c r="B5" s="31"/>
      <c r="C5" s="31"/>
      <c r="D5" s="31"/>
      <c r="E5" s="7">
        <f>SUM(E2:E4)</f>
        <v>2.2000000000000002</v>
      </c>
      <c r="F5" s="7">
        <f t="shared" ref="F5" si="0">SUM(F2:F4)</f>
        <v>0</v>
      </c>
      <c r="G5" s="7">
        <f t="shared" ref="G5:O5" si="1">SUM(G2:G4)</f>
        <v>0</v>
      </c>
      <c r="H5" s="7">
        <f t="shared" si="1"/>
        <v>0</v>
      </c>
      <c r="I5" s="7">
        <f t="shared" si="1"/>
        <v>0</v>
      </c>
      <c r="J5" s="7">
        <f t="shared" si="1"/>
        <v>0</v>
      </c>
      <c r="K5" s="7">
        <f t="shared" si="1"/>
        <v>0</v>
      </c>
      <c r="L5" s="7">
        <f t="shared" si="1"/>
        <v>0</v>
      </c>
      <c r="M5" s="7">
        <f t="shared" si="1"/>
        <v>0</v>
      </c>
      <c r="N5" s="7">
        <f t="shared" si="1"/>
        <v>0</v>
      </c>
      <c r="O5" s="7">
        <f t="shared" si="1"/>
        <v>0</v>
      </c>
    </row>
    <row r="6" spans="1:15" ht="18.95" customHeight="1" outlineLevel="1" x14ac:dyDescent="0.3">
      <c r="A6" s="33" t="s">
        <v>16</v>
      </c>
      <c r="B6" s="33" t="s">
        <v>9</v>
      </c>
      <c r="C6" s="11">
        <v>1</v>
      </c>
      <c r="D6" s="12" t="s">
        <v>103</v>
      </c>
      <c r="E6" s="19">
        <v>1</v>
      </c>
      <c r="F6" s="3"/>
      <c r="G6" s="3"/>
      <c r="H6" s="3"/>
      <c r="I6" s="4"/>
      <c r="J6" s="4"/>
      <c r="K6" s="4"/>
      <c r="L6" s="4"/>
      <c r="M6" s="4"/>
      <c r="N6" s="4"/>
      <c r="O6" s="4"/>
    </row>
    <row r="7" spans="1:15" ht="18.95" customHeight="1" outlineLevel="1" x14ac:dyDescent="0.3">
      <c r="A7" s="33"/>
      <c r="B7" s="33"/>
      <c r="C7" s="16">
        <v>2</v>
      </c>
      <c r="D7" s="13" t="s">
        <v>20</v>
      </c>
      <c r="E7" s="20">
        <v>0.2</v>
      </c>
      <c r="F7" s="14"/>
      <c r="G7" s="14"/>
      <c r="H7" s="14"/>
      <c r="I7" s="15"/>
      <c r="J7" s="15"/>
      <c r="K7" s="15"/>
      <c r="L7" s="15"/>
      <c r="M7" s="15"/>
      <c r="N7" s="15"/>
      <c r="O7" s="15"/>
    </row>
    <row r="8" spans="1:15" ht="18.95" customHeight="1" outlineLevel="1" x14ac:dyDescent="0.3">
      <c r="A8" s="33"/>
      <c r="B8" s="33"/>
      <c r="C8" s="11">
        <v>3</v>
      </c>
      <c r="D8" s="12" t="s">
        <v>21</v>
      </c>
      <c r="E8" s="19">
        <v>0.5</v>
      </c>
      <c r="F8" s="3"/>
      <c r="G8" s="3"/>
      <c r="H8" s="3"/>
      <c r="I8" s="4"/>
      <c r="J8" s="4"/>
      <c r="K8" s="4"/>
      <c r="L8" s="4"/>
      <c r="M8" s="4"/>
      <c r="N8" s="4"/>
      <c r="O8" s="4"/>
    </row>
    <row r="9" spans="1:15" ht="18.95" customHeight="1" outlineLevel="1" x14ac:dyDescent="0.3">
      <c r="A9" s="33"/>
      <c r="B9" s="33"/>
      <c r="C9" s="16">
        <v>4</v>
      </c>
      <c r="D9" s="13" t="s">
        <v>22</v>
      </c>
      <c r="E9" s="20">
        <v>0.2</v>
      </c>
      <c r="F9" s="14"/>
      <c r="G9" s="14"/>
      <c r="H9" s="14"/>
      <c r="I9" s="15"/>
      <c r="J9" s="15"/>
      <c r="K9" s="15"/>
      <c r="L9" s="15"/>
      <c r="M9" s="15"/>
      <c r="N9" s="15"/>
      <c r="O9" s="15"/>
    </row>
    <row r="10" spans="1:15" ht="18.95" customHeight="1" outlineLevel="1" x14ac:dyDescent="0.3">
      <c r="A10" s="33"/>
      <c r="B10" s="33"/>
      <c r="C10" s="11">
        <v>5</v>
      </c>
      <c r="D10" s="12" t="s">
        <v>23</v>
      </c>
      <c r="E10" s="19">
        <v>1.5</v>
      </c>
      <c r="F10" s="3"/>
      <c r="G10" s="3"/>
      <c r="H10" s="3"/>
      <c r="I10" s="4"/>
      <c r="J10" s="4"/>
      <c r="K10" s="4"/>
      <c r="L10" s="4"/>
      <c r="M10" s="4"/>
      <c r="N10" s="4"/>
      <c r="O10" s="4"/>
    </row>
    <row r="11" spans="1:15" ht="18.95" customHeight="1" outlineLevel="1" x14ac:dyDescent="0.3">
      <c r="A11" s="33"/>
      <c r="B11" s="33"/>
      <c r="C11" s="16">
        <v>6</v>
      </c>
      <c r="D11" s="13" t="s">
        <v>24</v>
      </c>
      <c r="E11" s="20">
        <v>0.1</v>
      </c>
      <c r="F11" s="14"/>
      <c r="G11" s="14"/>
      <c r="H11" s="14"/>
      <c r="I11" s="15"/>
      <c r="J11" s="15"/>
      <c r="K11" s="15"/>
      <c r="L11" s="15"/>
      <c r="M11" s="15"/>
      <c r="N11" s="15"/>
      <c r="O11" s="15"/>
    </row>
    <row r="12" spans="1:15" ht="18.95" customHeight="1" outlineLevel="1" x14ac:dyDescent="0.3">
      <c r="A12" s="33"/>
      <c r="B12" s="33"/>
      <c r="C12" s="11">
        <v>7</v>
      </c>
      <c r="D12" s="12" t="s">
        <v>25</v>
      </c>
      <c r="E12" s="19">
        <v>0.2</v>
      </c>
      <c r="F12" s="3"/>
      <c r="G12" s="3"/>
      <c r="H12" s="3"/>
      <c r="I12" s="4"/>
      <c r="J12" s="4"/>
      <c r="K12" s="4"/>
      <c r="L12" s="4"/>
      <c r="M12" s="4"/>
      <c r="N12" s="4"/>
      <c r="O12" s="4"/>
    </row>
    <row r="13" spans="1:15" ht="18.95" customHeight="1" outlineLevel="1" x14ac:dyDescent="0.3">
      <c r="A13" s="33"/>
      <c r="B13" s="33"/>
      <c r="C13" s="11">
        <v>8</v>
      </c>
      <c r="D13" s="12" t="s">
        <v>27</v>
      </c>
      <c r="E13" s="19">
        <v>0.5</v>
      </c>
      <c r="F13" s="3"/>
      <c r="G13" s="3"/>
      <c r="H13" s="3"/>
      <c r="I13" s="4"/>
      <c r="J13" s="4"/>
      <c r="K13" s="4"/>
      <c r="L13" s="4"/>
      <c r="M13" s="4"/>
      <c r="N13" s="4"/>
      <c r="O13" s="4"/>
    </row>
    <row r="14" spans="1:15" ht="18.95" customHeight="1" outlineLevel="1" x14ac:dyDescent="0.3">
      <c r="A14" s="33"/>
      <c r="B14" s="33"/>
      <c r="C14" s="11">
        <v>9</v>
      </c>
      <c r="D14" s="12" t="s">
        <v>26</v>
      </c>
      <c r="E14" s="19">
        <v>0.5</v>
      </c>
      <c r="F14" s="3"/>
      <c r="G14" s="3"/>
      <c r="H14" s="3"/>
      <c r="I14" s="4"/>
      <c r="J14" s="4"/>
      <c r="K14" s="4"/>
      <c r="L14" s="4"/>
      <c r="M14" s="4"/>
      <c r="N14" s="4"/>
      <c r="O14" s="4"/>
    </row>
    <row r="15" spans="1:15" ht="18.95" customHeight="1" outlineLevel="1" x14ac:dyDescent="0.3">
      <c r="A15" s="33"/>
      <c r="B15" s="33"/>
      <c r="C15" s="16">
        <v>10</v>
      </c>
      <c r="D15" s="13" t="s">
        <v>28</v>
      </c>
      <c r="E15" s="20">
        <v>0.4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8.95" customHeight="1" outlineLevel="1" x14ac:dyDescent="0.3">
      <c r="A16" s="33"/>
      <c r="B16" s="33"/>
      <c r="C16" s="11">
        <v>11</v>
      </c>
      <c r="D16" s="12" t="s">
        <v>29</v>
      </c>
      <c r="E16" s="19">
        <v>0.2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8.95" customHeight="1" outlineLevel="1" x14ac:dyDescent="0.3">
      <c r="A17" s="33"/>
      <c r="B17" s="33"/>
      <c r="C17" s="16">
        <v>12</v>
      </c>
      <c r="D17" s="13" t="s">
        <v>30</v>
      </c>
      <c r="E17" s="20">
        <v>0.2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ht="18.95" customHeight="1" x14ac:dyDescent="0.3">
      <c r="A18" s="31" t="s">
        <v>4</v>
      </c>
      <c r="B18" s="31"/>
      <c r="C18" s="31"/>
      <c r="D18" s="31"/>
      <c r="E18" s="7">
        <f>SUM(E6:E17)</f>
        <v>5.5000000000000009</v>
      </c>
      <c r="F18" s="7">
        <f t="shared" ref="F18" si="2">SUM(F6:F17)</f>
        <v>0</v>
      </c>
      <c r="G18" s="7">
        <f t="shared" ref="G18:O18" si="3">SUM(G6:G17)</f>
        <v>0</v>
      </c>
      <c r="H18" s="7">
        <f t="shared" si="3"/>
        <v>0</v>
      </c>
      <c r="I18" s="7">
        <f t="shared" si="3"/>
        <v>0</v>
      </c>
      <c r="J18" s="7">
        <f t="shared" si="3"/>
        <v>0</v>
      </c>
      <c r="K18" s="7">
        <f t="shared" si="3"/>
        <v>0</v>
      </c>
      <c r="L18" s="7">
        <f t="shared" si="3"/>
        <v>0</v>
      </c>
      <c r="M18" s="7">
        <f t="shared" si="3"/>
        <v>0</v>
      </c>
      <c r="N18" s="7">
        <f t="shared" si="3"/>
        <v>0</v>
      </c>
      <c r="O18" s="7">
        <f t="shared" si="3"/>
        <v>0</v>
      </c>
    </row>
    <row r="19" spans="1:15" ht="18.95" customHeight="1" outlineLevel="1" x14ac:dyDescent="0.3">
      <c r="A19" s="34" t="s">
        <v>31</v>
      </c>
      <c r="B19" s="36" t="s">
        <v>10</v>
      </c>
      <c r="C19" s="11">
        <v>1</v>
      </c>
      <c r="D19" s="12" t="s">
        <v>8</v>
      </c>
      <c r="E19" s="19">
        <v>0.2</v>
      </c>
      <c r="F19" s="3"/>
      <c r="G19" s="3"/>
      <c r="H19" s="3"/>
      <c r="I19" s="4"/>
      <c r="J19" s="4"/>
      <c r="K19" s="4"/>
      <c r="L19" s="4"/>
      <c r="M19" s="4"/>
      <c r="N19" s="4"/>
      <c r="O19" s="4"/>
    </row>
    <row r="20" spans="1:15" ht="18.95" customHeight="1" outlineLevel="1" x14ac:dyDescent="0.3">
      <c r="A20" s="34"/>
      <c r="B20" s="36"/>
      <c r="C20" s="16">
        <v>2</v>
      </c>
      <c r="D20" s="13" t="s">
        <v>11</v>
      </c>
      <c r="E20" s="20">
        <v>0.1</v>
      </c>
      <c r="F20" s="14"/>
      <c r="G20" s="14"/>
      <c r="H20" s="14"/>
      <c r="I20" s="15"/>
      <c r="J20" s="15"/>
      <c r="K20" s="15"/>
      <c r="L20" s="15"/>
      <c r="M20" s="15"/>
      <c r="N20" s="15"/>
      <c r="O20" s="15"/>
    </row>
    <row r="21" spans="1:15" ht="18.95" customHeight="1" outlineLevel="1" x14ac:dyDescent="0.3">
      <c r="A21" s="34"/>
      <c r="B21" s="36"/>
      <c r="C21" s="16">
        <v>3</v>
      </c>
      <c r="D21" s="13" t="s">
        <v>32</v>
      </c>
      <c r="E21" s="20">
        <v>0.3</v>
      </c>
      <c r="F21" s="14"/>
      <c r="G21" s="14"/>
      <c r="H21" s="14"/>
      <c r="I21" s="15"/>
      <c r="J21" s="15"/>
      <c r="K21" s="15"/>
      <c r="L21" s="15"/>
      <c r="M21" s="15"/>
      <c r="N21" s="15"/>
      <c r="O21" s="15"/>
    </row>
    <row r="22" spans="1:15" ht="18.95" customHeight="1" outlineLevel="1" x14ac:dyDescent="0.3">
      <c r="A22" s="34"/>
      <c r="B22" s="36"/>
      <c r="C22" s="16">
        <v>4</v>
      </c>
      <c r="D22" s="13" t="s">
        <v>33</v>
      </c>
      <c r="E22" s="20">
        <v>0.3</v>
      </c>
      <c r="F22" s="14"/>
      <c r="G22" s="14"/>
      <c r="H22" s="14"/>
      <c r="I22" s="15"/>
      <c r="J22" s="15"/>
      <c r="K22" s="15"/>
      <c r="L22" s="15"/>
      <c r="M22" s="15"/>
      <c r="N22" s="15"/>
      <c r="O22" s="15"/>
    </row>
    <row r="23" spans="1:15" ht="18.95" customHeight="1" outlineLevel="1" x14ac:dyDescent="0.3">
      <c r="A23" s="34"/>
      <c r="B23" s="36"/>
      <c r="C23" s="16">
        <v>4</v>
      </c>
      <c r="D23" s="13" t="s">
        <v>14</v>
      </c>
      <c r="E23" s="20">
        <v>0.1</v>
      </c>
      <c r="F23" s="14"/>
      <c r="G23" s="14"/>
      <c r="H23" s="14"/>
      <c r="I23" s="15"/>
      <c r="J23" s="15"/>
      <c r="K23" s="15"/>
      <c r="L23" s="15"/>
      <c r="M23" s="15"/>
      <c r="N23" s="15"/>
      <c r="O23" s="15"/>
    </row>
    <row r="24" spans="1:15" ht="18.95" customHeight="1" x14ac:dyDescent="0.3">
      <c r="A24" s="31" t="s">
        <v>4</v>
      </c>
      <c r="B24" s="31"/>
      <c r="C24" s="31"/>
      <c r="D24" s="31"/>
      <c r="E24" s="7">
        <f t="shared" ref="E24:O24" si="4">SUM(E19:E23)</f>
        <v>1.0000000000000002</v>
      </c>
      <c r="F24" s="7">
        <f t="shared" si="4"/>
        <v>0</v>
      </c>
      <c r="G24" s="7">
        <f t="shared" si="4"/>
        <v>0</v>
      </c>
      <c r="H24" s="7">
        <f t="shared" si="4"/>
        <v>0</v>
      </c>
      <c r="I24" s="7">
        <f t="shared" si="4"/>
        <v>0</v>
      </c>
      <c r="J24" s="7">
        <f t="shared" si="4"/>
        <v>0</v>
      </c>
      <c r="K24" s="7">
        <f t="shared" si="4"/>
        <v>0</v>
      </c>
      <c r="L24" s="7">
        <f t="shared" si="4"/>
        <v>0</v>
      </c>
      <c r="M24" s="7">
        <f t="shared" si="4"/>
        <v>0</v>
      </c>
      <c r="N24" s="7">
        <f t="shared" si="4"/>
        <v>0</v>
      </c>
      <c r="O24" s="7">
        <f t="shared" si="4"/>
        <v>0</v>
      </c>
    </row>
    <row r="25" spans="1:15" ht="18.75" customHeight="1" outlineLevel="1" x14ac:dyDescent="0.3">
      <c r="A25" s="34" t="s">
        <v>34</v>
      </c>
      <c r="B25" s="34" t="s">
        <v>35</v>
      </c>
      <c r="C25" s="11">
        <v>1</v>
      </c>
      <c r="D25" s="12" t="s">
        <v>104</v>
      </c>
      <c r="E25" s="19">
        <v>1</v>
      </c>
      <c r="F25" s="3"/>
      <c r="G25" s="3"/>
      <c r="H25" s="3"/>
      <c r="I25" s="4"/>
      <c r="J25" s="4"/>
      <c r="K25" s="4"/>
      <c r="L25" s="4"/>
      <c r="M25" s="4"/>
      <c r="N25" s="4"/>
      <c r="O25" s="4"/>
    </row>
    <row r="26" spans="1:15" ht="18.75" customHeight="1" outlineLevel="1" x14ac:dyDescent="0.3">
      <c r="A26" s="34"/>
      <c r="B26" s="34"/>
      <c r="C26" s="11">
        <v>2</v>
      </c>
      <c r="D26" s="12" t="s">
        <v>37</v>
      </c>
      <c r="E26" s="19">
        <v>0.4</v>
      </c>
      <c r="F26" s="3"/>
      <c r="G26" s="3"/>
      <c r="H26" s="3"/>
      <c r="I26" s="4"/>
      <c r="J26" s="4"/>
      <c r="K26" s="4"/>
      <c r="L26" s="4"/>
      <c r="M26" s="4"/>
      <c r="N26" s="4"/>
      <c r="O26" s="4"/>
    </row>
    <row r="27" spans="1:15" ht="18.75" customHeight="1" outlineLevel="1" x14ac:dyDescent="0.3">
      <c r="A27" s="34"/>
      <c r="B27" s="34"/>
      <c r="C27" s="11">
        <v>3</v>
      </c>
      <c r="D27" s="12" t="s">
        <v>38</v>
      </c>
      <c r="E27" s="19">
        <v>0.4</v>
      </c>
      <c r="F27" s="3"/>
      <c r="G27" s="3"/>
      <c r="H27" s="3"/>
      <c r="I27" s="4"/>
      <c r="J27" s="4"/>
      <c r="K27" s="4"/>
      <c r="L27" s="4"/>
      <c r="M27" s="4"/>
      <c r="N27" s="4"/>
      <c r="O27" s="4"/>
    </row>
    <row r="28" spans="1:15" ht="18.75" customHeight="1" outlineLevel="1" x14ac:dyDescent="0.3">
      <c r="A28" s="34"/>
      <c r="B28" s="34"/>
      <c r="C28" s="11">
        <v>4</v>
      </c>
      <c r="D28" s="12" t="s">
        <v>39</v>
      </c>
      <c r="E28" s="19">
        <v>0.2</v>
      </c>
      <c r="F28" s="3"/>
      <c r="G28" s="3"/>
      <c r="H28" s="3"/>
      <c r="I28" s="4"/>
      <c r="J28" s="4"/>
      <c r="K28" s="4"/>
      <c r="L28" s="4"/>
      <c r="M28" s="4"/>
      <c r="N28" s="4"/>
      <c r="O28" s="4"/>
    </row>
    <row r="29" spans="1:15" ht="18.75" customHeight="1" outlineLevel="1" x14ac:dyDescent="0.3">
      <c r="A29" s="34"/>
      <c r="B29" s="34"/>
      <c r="C29" s="11">
        <v>5</v>
      </c>
      <c r="D29" s="12" t="s">
        <v>40</v>
      </c>
      <c r="E29" s="19">
        <v>0.5</v>
      </c>
      <c r="F29" s="3"/>
      <c r="G29" s="3"/>
      <c r="H29" s="3"/>
      <c r="I29" s="4"/>
      <c r="J29" s="4"/>
      <c r="K29" s="4"/>
      <c r="L29" s="4"/>
      <c r="M29" s="4"/>
      <c r="N29" s="4"/>
      <c r="O29" s="4"/>
    </row>
    <row r="30" spans="1:15" ht="18.75" customHeight="1" outlineLevel="1" x14ac:dyDescent="0.3">
      <c r="A30" s="34"/>
      <c r="B30" s="34"/>
      <c r="C30" s="11">
        <v>6</v>
      </c>
      <c r="D30" s="12" t="s">
        <v>41</v>
      </c>
      <c r="E30" s="19">
        <v>0.2</v>
      </c>
      <c r="F30" s="3"/>
      <c r="G30" s="3"/>
      <c r="H30" s="3"/>
      <c r="I30" s="4"/>
      <c r="J30" s="4"/>
      <c r="K30" s="4"/>
      <c r="L30" s="4"/>
      <c r="M30" s="4"/>
      <c r="N30" s="4"/>
      <c r="O30" s="4"/>
    </row>
    <row r="31" spans="1:15" ht="18.75" customHeight="1" outlineLevel="1" x14ac:dyDescent="0.3">
      <c r="A31" s="34"/>
      <c r="B31" s="34"/>
      <c r="C31" s="11">
        <v>7</v>
      </c>
      <c r="D31" s="12" t="s">
        <v>42</v>
      </c>
      <c r="E31" s="19">
        <v>0.2</v>
      </c>
      <c r="F31" s="3"/>
      <c r="G31" s="3"/>
      <c r="H31" s="3"/>
      <c r="I31" s="4"/>
      <c r="J31" s="4"/>
      <c r="K31" s="4"/>
      <c r="L31" s="4"/>
      <c r="M31" s="4"/>
      <c r="N31" s="4"/>
      <c r="O31" s="4"/>
    </row>
    <row r="32" spans="1:15" ht="18.75" customHeight="1" outlineLevel="1" x14ac:dyDescent="0.3">
      <c r="A32" s="34"/>
      <c r="B32" s="34"/>
      <c r="C32" s="11">
        <v>8</v>
      </c>
      <c r="D32" s="12" t="s">
        <v>44</v>
      </c>
      <c r="E32" s="19">
        <v>0.2</v>
      </c>
      <c r="F32" s="3"/>
      <c r="G32" s="3"/>
      <c r="H32" s="3"/>
      <c r="I32" s="4"/>
      <c r="J32" s="4"/>
      <c r="K32" s="4"/>
      <c r="L32" s="4"/>
      <c r="M32" s="4"/>
      <c r="N32" s="4"/>
      <c r="O32" s="4"/>
    </row>
    <row r="33" spans="1:15" ht="18.75" customHeight="1" outlineLevel="1" x14ac:dyDescent="0.3">
      <c r="A33" s="34"/>
      <c r="B33" s="34"/>
      <c r="C33" s="11">
        <v>9</v>
      </c>
      <c r="D33" s="12" t="s">
        <v>43</v>
      </c>
      <c r="E33" s="19">
        <v>0.5</v>
      </c>
      <c r="F33" s="3"/>
      <c r="G33" s="3"/>
      <c r="H33" s="3"/>
      <c r="I33" s="4"/>
      <c r="J33" s="4"/>
      <c r="K33" s="4"/>
      <c r="L33" s="4"/>
      <c r="M33" s="4"/>
      <c r="N33" s="4"/>
      <c r="O33" s="4"/>
    </row>
    <row r="34" spans="1:15" ht="18.95" customHeight="1" x14ac:dyDescent="0.3">
      <c r="A34" s="31" t="s">
        <v>4</v>
      </c>
      <c r="B34" s="31"/>
      <c r="C34" s="31"/>
      <c r="D34" s="31"/>
      <c r="E34" s="7">
        <f t="shared" ref="E34:O34" si="5">SUM(E25:E33)</f>
        <v>3.6000000000000005</v>
      </c>
      <c r="F34" s="7">
        <f t="shared" si="5"/>
        <v>0</v>
      </c>
      <c r="G34" s="7">
        <f t="shared" si="5"/>
        <v>0</v>
      </c>
      <c r="H34" s="7">
        <f t="shared" si="5"/>
        <v>0</v>
      </c>
      <c r="I34" s="7">
        <f t="shared" si="5"/>
        <v>0</v>
      </c>
      <c r="J34" s="7">
        <f t="shared" si="5"/>
        <v>0</v>
      </c>
      <c r="K34" s="7">
        <f t="shared" si="5"/>
        <v>0</v>
      </c>
      <c r="L34" s="7">
        <f t="shared" si="5"/>
        <v>0</v>
      </c>
      <c r="M34" s="7">
        <f t="shared" si="5"/>
        <v>0</v>
      </c>
      <c r="N34" s="7">
        <f t="shared" si="5"/>
        <v>0</v>
      </c>
      <c r="O34" s="7">
        <f t="shared" si="5"/>
        <v>0</v>
      </c>
    </row>
    <row r="35" spans="1:15" ht="18.95" customHeight="1" outlineLevel="1" x14ac:dyDescent="0.3">
      <c r="A35" s="34" t="s">
        <v>45</v>
      </c>
      <c r="B35" s="34" t="s">
        <v>13</v>
      </c>
      <c r="C35" s="11">
        <v>1</v>
      </c>
      <c r="D35" s="12" t="s">
        <v>46</v>
      </c>
      <c r="E35" s="19">
        <v>0.5</v>
      </c>
      <c r="F35" s="3"/>
      <c r="G35" s="3"/>
      <c r="H35" s="3"/>
      <c r="I35" s="4"/>
      <c r="J35" s="4"/>
      <c r="K35" s="4"/>
      <c r="L35" s="4"/>
      <c r="M35" s="4"/>
      <c r="N35" s="4"/>
      <c r="O35" s="4"/>
    </row>
    <row r="36" spans="1:15" ht="18.95" customHeight="1" outlineLevel="1" x14ac:dyDescent="0.3">
      <c r="A36" s="34"/>
      <c r="B36" s="34"/>
      <c r="C36" s="11">
        <v>2</v>
      </c>
      <c r="D36" s="12" t="s">
        <v>59</v>
      </c>
      <c r="E36" s="19">
        <v>0.5</v>
      </c>
      <c r="F36" s="3"/>
      <c r="G36" s="3"/>
      <c r="H36" s="3"/>
      <c r="I36" s="4"/>
      <c r="J36" s="4"/>
      <c r="K36" s="4"/>
      <c r="L36" s="4"/>
      <c r="M36" s="4"/>
      <c r="N36" s="4"/>
      <c r="O36" s="4"/>
    </row>
    <row r="37" spans="1:15" ht="18.95" customHeight="1" outlineLevel="1" x14ac:dyDescent="0.3">
      <c r="A37" s="34"/>
      <c r="B37" s="34"/>
      <c r="C37" s="11">
        <v>3</v>
      </c>
      <c r="D37" s="12" t="s">
        <v>47</v>
      </c>
      <c r="E37" s="19">
        <v>0.1</v>
      </c>
      <c r="F37" s="3"/>
      <c r="G37" s="3"/>
      <c r="H37" s="3"/>
      <c r="I37" s="4"/>
      <c r="J37" s="4"/>
      <c r="K37" s="4"/>
      <c r="L37" s="4"/>
      <c r="M37" s="4"/>
      <c r="N37" s="4"/>
      <c r="O37" s="4"/>
    </row>
    <row r="38" spans="1:15" ht="18.95" customHeight="1" outlineLevel="1" x14ac:dyDescent="0.3">
      <c r="A38" s="34"/>
      <c r="B38" s="34"/>
      <c r="C38" s="11">
        <v>4</v>
      </c>
      <c r="D38" s="12" t="s">
        <v>48</v>
      </c>
      <c r="E38" s="19">
        <v>0.5</v>
      </c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8.95" customHeight="1" outlineLevel="1" x14ac:dyDescent="0.3">
      <c r="A39" s="34"/>
      <c r="B39" s="34"/>
      <c r="C39" s="11">
        <v>5</v>
      </c>
      <c r="D39" s="12" t="s">
        <v>49</v>
      </c>
      <c r="E39" s="19">
        <v>0.2</v>
      </c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8.95" customHeight="1" outlineLevel="1" x14ac:dyDescent="0.3">
      <c r="A40" s="34"/>
      <c r="B40" s="34"/>
      <c r="C40" s="11">
        <v>6</v>
      </c>
      <c r="D40" s="12" t="s">
        <v>50</v>
      </c>
      <c r="E40" s="19">
        <v>0.2</v>
      </c>
      <c r="F40" s="3"/>
      <c r="G40" s="3"/>
      <c r="H40" s="3"/>
      <c r="I40" s="4"/>
      <c r="J40" s="4"/>
      <c r="K40" s="4"/>
      <c r="L40" s="4"/>
      <c r="M40" s="4"/>
      <c r="N40" s="4"/>
      <c r="O40" s="4"/>
    </row>
    <row r="41" spans="1:15" ht="18.95" customHeight="1" outlineLevel="1" x14ac:dyDescent="0.3">
      <c r="A41" s="34"/>
      <c r="B41" s="34"/>
      <c r="C41" s="11">
        <v>7</v>
      </c>
      <c r="D41" s="12" t="s">
        <v>51</v>
      </c>
      <c r="E41" s="19">
        <v>1</v>
      </c>
      <c r="F41" s="3"/>
      <c r="G41" s="3"/>
      <c r="H41" s="3"/>
      <c r="I41" s="4"/>
      <c r="J41" s="4"/>
      <c r="K41" s="4"/>
      <c r="L41" s="4"/>
      <c r="M41" s="4"/>
      <c r="N41" s="4"/>
      <c r="O41" s="4"/>
    </row>
    <row r="42" spans="1:15" ht="18.95" customHeight="1" outlineLevel="1" x14ac:dyDescent="0.3">
      <c r="A42" s="34"/>
      <c r="B42" s="34"/>
      <c r="C42" s="16">
        <v>8</v>
      </c>
      <c r="D42" s="13" t="s">
        <v>52</v>
      </c>
      <c r="E42" s="20">
        <v>0.5</v>
      </c>
      <c r="F42" s="14"/>
      <c r="G42" s="14"/>
      <c r="H42" s="14"/>
      <c r="I42" s="15"/>
      <c r="J42" s="15"/>
      <c r="K42" s="15"/>
      <c r="L42" s="15"/>
      <c r="M42" s="15"/>
      <c r="N42" s="15"/>
      <c r="O42" s="15"/>
    </row>
    <row r="43" spans="1:15" ht="18.95" customHeight="1" outlineLevel="1" x14ac:dyDescent="0.3">
      <c r="A43" s="34"/>
      <c r="B43" s="34"/>
      <c r="C43" s="16">
        <v>9</v>
      </c>
      <c r="D43" s="13" t="s">
        <v>60</v>
      </c>
      <c r="E43" s="20">
        <v>0.5</v>
      </c>
      <c r="F43" s="14"/>
      <c r="G43" s="14"/>
      <c r="H43" s="14"/>
      <c r="I43" s="15"/>
      <c r="J43" s="15"/>
      <c r="K43" s="15"/>
      <c r="L43" s="15"/>
      <c r="M43" s="15"/>
      <c r="N43" s="15"/>
      <c r="O43" s="15"/>
    </row>
    <row r="44" spans="1:15" ht="18.95" customHeight="1" outlineLevel="1" x14ac:dyDescent="0.3">
      <c r="A44" s="34"/>
      <c r="B44" s="34"/>
      <c r="C44" s="16">
        <v>10</v>
      </c>
      <c r="D44" s="13" t="s">
        <v>53</v>
      </c>
      <c r="E44" s="20">
        <v>0.3</v>
      </c>
      <c r="F44" s="14"/>
      <c r="G44" s="14"/>
      <c r="H44" s="14"/>
      <c r="I44" s="15"/>
      <c r="J44" s="15"/>
      <c r="K44" s="15"/>
      <c r="L44" s="15"/>
      <c r="M44" s="15"/>
      <c r="N44" s="15"/>
      <c r="O44" s="15"/>
    </row>
    <row r="45" spans="1:15" ht="18.95" customHeight="1" outlineLevel="1" x14ac:dyDescent="0.3">
      <c r="A45" s="34"/>
      <c r="B45" s="34"/>
      <c r="C45" s="16">
        <v>11</v>
      </c>
      <c r="D45" s="13" t="s">
        <v>58</v>
      </c>
      <c r="E45" s="20">
        <v>0.3</v>
      </c>
      <c r="F45" s="14"/>
      <c r="G45" s="14"/>
      <c r="H45" s="14"/>
      <c r="I45" s="15"/>
      <c r="J45" s="15"/>
      <c r="K45" s="15"/>
      <c r="L45" s="15"/>
      <c r="M45" s="15"/>
      <c r="N45" s="15"/>
      <c r="O45" s="15"/>
    </row>
    <row r="46" spans="1:15" ht="18.95" customHeight="1" outlineLevel="1" x14ac:dyDescent="0.3">
      <c r="A46" s="34"/>
      <c r="B46" s="34"/>
      <c r="C46" s="11">
        <v>12</v>
      </c>
      <c r="D46" s="12" t="s">
        <v>54</v>
      </c>
      <c r="E46" s="19">
        <v>0.5</v>
      </c>
      <c r="F46" s="3"/>
      <c r="G46" s="3"/>
      <c r="H46" s="3"/>
      <c r="I46" s="4"/>
      <c r="J46" s="4"/>
      <c r="K46" s="4"/>
      <c r="L46" s="4"/>
      <c r="M46" s="4"/>
      <c r="N46" s="4"/>
      <c r="O46" s="4"/>
    </row>
    <row r="47" spans="1:15" ht="18.95" customHeight="1" outlineLevel="1" x14ac:dyDescent="0.3">
      <c r="A47" s="34"/>
      <c r="B47" s="34"/>
      <c r="C47" s="11">
        <v>13</v>
      </c>
      <c r="D47" s="12" t="s">
        <v>61</v>
      </c>
      <c r="E47" s="19">
        <v>0.5</v>
      </c>
      <c r="F47" s="3"/>
      <c r="G47" s="3"/>
      <c r="H47" s="3"/>
      <c r="I47" s="4"/>
      <c r="J47" s="4"/>
      <c r="K47" s="4"/>
      <c r="L47" s="4"/>
      <c r="M47" s="4"/>
      <c r="N47" s="4"/>
      <c r="O47" s="4"/>
    </row>
    <row r="48" spans="1:15" ht="18.95" customHeight="1" outlineLevel="1" x14ac:dyDescent="0.3">
      <c r="A48" s="34"/>
      <c r="B48" s="34"/>
      <c r="C48" s="11">
        <v>14</v>
      </c>
      <c r="D48" s="12" t="s">
        <v>55</v>
      </c>
      <c r="E48" s="19">
        <v>0.2</v>
      </c>
      <c r="F48" s="3"/>
      <c r="G48" s="3"/>
      <c r="H48" s="3"/>
      <c r="I48" s="4"/>
      <c r="J48" s="4"/>
      <c r="K48" s="4"/>
      <c r="L48" s="4"/>
      <c r="M48" s="4"/>
      <c r="N48" s="4"/>
      <c r="O48" s="4"/>
    </row>
    <row r="49" spans="1:15" ht="18.95" customHeight="1" outlineLevel="1" x14ac:dyDescent="0.3">
      <c r="A49" s="34"/>
      <c r="B49" s="34"/>
      <c r="C49" s="11">
        <v>15</v>
      </c>
      <c r="D49" s="12" t="s">
        <v>56</v>
      </c>
      <c r="E49" s="19">
        <v>1</v>
      </c>
      <c r="F49" s="3"/>
      <c r="G49" s="3"/>
      <c r="H49" s="3"/>
      <c r="I49" s="4"/>
      <c r="J49" s="4"/>
      <c r="K49" s="4"/>
      <c r="L49" s="4"/>
      <c r="M49" s="4"/>
      <c r="N49" s="4"/>
      <c r="O49" s="4"/>
    </row>
    <row r="50" spans="1:15" ht="18.95" customHeight="1" outlineLevel="1" x14ac:dyDescent="0.3">
      <c r="A50" s="34"/>
      <c r="B50" s="34"/>
      <c r="C50" s="11">
        <v>16</v>
      </c>
      <c r="D50" s="12" t="s">
        <v>57</v>
      </c>
      <c r="E50" s="19">
        <v>0.1</v>
      </c>
      <c r="F50" s="3"/>
      <c r="G50" s="3"/>
      <c r="H50" s="3"/>
      <c r="I50" s="4"/>
      <c r="J50" s="4"/>
      <c r="K50" s="4"/>
      <c r="L50" s="4"/>
      <c r="M50" s="4"/>
      <c r="N50" s="4"/>
      <c r="O50" s="4"/>
    </row>
    <row r="51" spans="1:15" ht="18.95" customHeight="1" x14ac:dyDescent="0.3">
      <c r="A51" s="31" t="s">
        <v>4</v>
      </c>
      <c r="B51" s="31"/>
      <c r="C51" s="31"/>
      <c r="D51" s="31"/>
      <c r="E51" s="7">
        <f t="shared" ref="E51:O51" si="6">SUM(E35:E50)</f>
        <v>6.8999999999999995</v>
      </c>
      <c r="F51" s="7">
        <f t="shared" si="6"/>
        <v>0</v>
      </c>
      <c r="G51" s="7">
        <f t="shared" si="6"/>
        <v>0</v>
      </c>
      <c r="H51" s="7">
        <f t="shared" si="6"/>
        <v>0</v>
      </c>
      <c r="I51" s="7">
        <f t="shared" si="6"/>
        <v>0</v>
      </c>
      <c r="J51" s="7">
        <f t="shared" si="6"/>
        <v>0</v>
      </c>
      <c r="K51" s="7">
        <f t="shared" si="6"/>
        <v>0</v>
      </c>
      <c r="L51" s="7">
        <f t="shared" si="6"/>
        <v>0</v>
      </c>
      <c r="M51" s="7">
        <f t="shared" si="6"/>
        <v>0</v>
      </c>
      <c r="N51" s="7">
        <f t="shared" si="6"/>
        <v>0</v>
      </c>
      <c r="O51" s="7">
        <f t="shared" si="6"/>
        <v>0</v>
      </c>
    </row>
    <row r="52" spans="1:15" ht="18.95" customHeight="1" outlineLevel="1" x14ac:dyDescent="0.3">
      <c r="A52" s="33" t="s">
        <v>62</v>
      </c>
      <c r="B52" s="35" t="s">
        <v>63</v>
      </c>
      <c r="C52" s="11">
        <v>1</v>
      </c>
      <c r="D52" s="12" t="s">
        <v>8</v>
      </c>
      <c r="E52" s="24">
        <v>0.2</v>
      </c>
      <c r="F52" s="3"/>
      <c r="G52" s="3"/>
      <c r="H52" s="3"/>
      <c r="I52" s="4"/>
      <c r="J52" s="4"/>
      <c r="K52" s="4"/>
      <c r="L52" s="4"/>
      <c r="M52" s="4"/>
      <c r="N52" s="4"/>
      <c r="O52" s="4"/>
    </row>
    <row r="53" spans="1:15" ht="18.95" customHeight="1" outlineLevel="1" x14ac:dyDescent="0.3">
      <c r="A53" s="33"/>
      <c r="B53" s="33"/>
      <c r="C53" s="11">
        <v>2</v>
      </c>
      <c r="D53" s="23" t="s">
        <v>66</v>
      </c>
      <c r="E53" s="24">
        <v>0.1</v>
      </c>
      <c r="F53" s="3"/>
      <c r="G53" s="3"/>
      <c r="H53" s="3"/>
      <c r="I53" s="4"/>
      <c r="J53" s="4"/>
      <c r="K53" s="4"/>
      <c r="L53" s="4"/>
      <c r="M53" s="4"/>
      <c r="N53" s="4"/>
      <c r="O53" s="4"/>
    </row>
    <row r="54" spans="1:15" ht="18.95" customHeight="1" outlineLevel="1" x14ac:dyDescent="0.3">
      <c r="A54" s="33"/>
      <c r="B54" s="33"/>
      <c r="C54" s="11">
        <v>3</v>
      </c>
      <c r="D54" s="23" t="s">
        <v>64</v>
      </c>
      <c r="E54" s="24">
        <v>0.8</v>
      </c>
      <c r="F54" s="3"/>
      <c r="G54" s="3"/>
      <c r="H54" s="3"/>
      <c r="I54" s="4"/>
      <c r="J54" s="4"/>
      <c r="K54" s="4"/>
      <c r="L54" s="4"/>
      <c r="M54" s="4"/>
      <c r="N54" s="4"/>
      <c r="O54" s="4"/>
    </row>
    <row r="55" spans="1:15" ht="18.95" customHeight="1" outlineLevel="1" x14ac:dyDescent="0.3">
      <c r="A55" s="33"/>
      <c r="B55" s="33"/>
      <c r="C55" s="11">
        <v>4</v>
      </c>
      <c r="D55" s="12" t="s">
        <v>65</v>
      </c>
      <c r="E55" s="24">
        <v>1</v>
      </c>
      <c r="F55" s="3"/>
      <c r="G55" s="3"/>
      <c r="H55" s="3"/>
      <c r="I55" s="4"/>
      <c r="J55" s="4"/>
      <c r="K55" s="4"/>
      <c r="L55" s="4"/>
      <c r="M55" s="4"/>
      <c r="N55" s="4"/>
      <c r="O55" s="4"/>
    </row>
    <row r="56" spans="1:15" ht="18.95" customHeight="1" x14ac:dyDescent="0.3">
      <c r="A56" s="31" t="s">
        <v>4</v>
      </c>
      <c r="B56" s="31"/>
      <c r="C56" s="31"/>
      <c r="D56" s="31"/>
      <c r="E56" s="7">
        <f t="shared" ref="E56:O56" si="7">SUM(E52:E55)</f>
        <v>2.1</v>
      </c>
      <c r="F56" s="7">
        <f t="shared" si="7"/>
        <v>0</v>
      </c>
      <c r="G56" s="7">
        <f t="shared" si="7"/>
        <v>0</v>
      </c>
      <c r="H56" s="7">
        <f t="shared" si="7"/>
        <v>0</v>
      </c>
      <c r="I56" s="7">
        <f t="shared" si="7"/>
        <v>0</v>
      </c>
      <c r="J56" s="7">
        <f t="shared" si="7"/>
        <v>0</v>
      </c>
      <c r="K56" s="7">
        <f t="shared" si="7"/>
        <v>0</v>
      </c>
      <c r="L56" s="7">
        <f t="shared" si="7"/>
        <v>0</v>
      </c>
      <c r="M56" s="7">
        <f t="shared" si="7"/>
        <v>0</v>
      </c>
      <c r="N56" s="7">
        <f t="shared" si="7"/>
        <v>0</v>
      </c>
      <c r="O56" s="7">
        <f t="shared" si="7"/>
        <v>0</v>
      </c>
    </row>
    <row r="57" spans="1:15" ht="18.95" customHeight="1" outlineLevel="1" x14ac:dyDescent="0.3">
      <c r="A57" s="34" t="s">
        <v>67</v>
      </c>
      <c r="B57" s="34" t="s">
        <v>68</v>
      </c>
      <c r="C57" s="11">
        <v>1</v>
      </c>
      <c r="D57" s="12" t="s">
        <v>12</v>
      </c>
      <c r="E57" s="19">
        <v>0.3</v>
      </c>
      <c r="F57" s="3"/>
      <c r="G57" s="3"/>
      <c r="H57" s="3"/>
      <c r="I57" s="4"/>
      <c r="J57" s="4"/>
      <c r="K57" s="4"/>
      <c r="L57" s="4"/>
      <c r="M57" s="4"/>
      <c r="N57" s="4"/>
      <c r="O57" s="4"/>
    </row>
    <row r="58" spans="1:15" ht="18.95" customHeight="1" outlineLevel="1" x14ac:dyDescent="0.3">
      <c r="A58" s="34"/>
      <c r="B58" s="34"/>
      <c r="C58" s="11">
        <v>2</v>
      </c>
      <c r="D58" s="12" t="s">
        <v>72</v>
      </c>
      <c r="E58" s="19">
        <v>0.5</v>
      </c>
      <c r="F58" s="3"/>
      <c r="G58" s="3"/>
      <c r="H58" s="3"/>
      <c r="I58" s="4"/>
      <c r="J58" s="4"/>
      <c r="K58" s="4"/>
      <c r="L58" s="4"/>
      <c r="M58" s="4"/>
      <c r="N58" s="4"/>
      <c r="O58" s="4"/>
    </row>
    <row r="59" spans="1:15" ht="18.95" customHeight="1" outlineLevel="1" x14ac:dyDescent="0.3">
      <c r="A59" s="34"/>
      <c r="B59" s="34"/>
      <c r="C59" s="16">
        <v>3</v>
      </c>
      <c r="D59" s="13" t="s">
        <v>69</v>
      </c>
      <c r="E59" s="20">
        <v>0.5</v>
      </c>
      <c r="F59" s="14"/>
      <c r="G59" s="14"/>
      <c r="H59" s="14"/>
      <c r="I59" s="15"/>
      <c r="J59" s="15"/>
      <c r="K59" s="15"/>
      <c r="L59" s="15"/>
      <c r="M59" s="15"/>
      <c r="N59" s="15"/>
      <c r="O59" s="15"/>
    </row>
    <row r="60" spans="1:15" ht="18.95" customHeight="1" outlineLevel="1" x14ac:dyDescent="0.3">
      <c r="A60" s="34"/>
      <c r="B60" s="34"/>
      <c r="C60" s="11">
        <v>4</v>
      </c>
      <c r="D60" s="12" t="s">
        <v>70</v>
      </c>
      <c r="E60" s="19">
        <v>0.1</v>
      </c>
      <c r="F60" s="3"/>
      <c r="G60" s="3"/>
      <c r="H60" s="3"/>
      <c r="I60" s="4"/>
      <c r="J60" s="4"/>
      <c r="K60" s="4"/>
      <c r="L60" s="4"/>
      <c r="M60" s="4"/>
      <c r="N60" s="4"/>
      <c r="O60" s="4"/>
    </row>
    <row r="61" spans="1:15" ht="18.95" customHeight="1" outlineLevel="1" x14ac:dyDescent="0.3">
      <c r="A61" s="34"/>
      <c r="B61" s="34"/>
      <c r="C61" s="11">
        <v>5</v>
      </c>
      <c r="D61" s="12" t="s">
        <v>71</v>
      </c>
      <c r="E61" s="19">
        <v>1</v>
      </c>
      <c r="F61" s="3"/>
      <c r="G61" s="3"/>
      <c r="H61" s="3"/>
      <c r="I61" s="4"/>
      <c r="J61" s="4"/>
      <c r="K61" s="4"/>
      <c r="L61" s="4"/>
      <c r="M61" s="4"/>
      <c r="N61" s="4"/>
      <c r="O61" s="4"/>
    </row>
    <row r="62" spans="1:15" ht="17.25" x14ac:dyDescent="0.3">
      <c r="A62" s="31" t="s">
        <v>4</v>
      </c>
      <c r="B62" s="31"/>
      <c r="C62" s="31"/>
      <c r="D62" s="31"/>
      <c r="E62" s="7">
        <f t="shared" ref="E62:O62" si="8">SUM(E57:E61)</f>
        <v>2.4000000000000004</v>
      </c>
      <c r="F62" s="7">
        <f t="shared" si="8"/>
        <v>0</v>
      </c>
      <c r="G62" s="7">
        <f t="shared" si="8"/>
        <v>0</v>
      </c>
      <c r="H62" s="7">
        <f t="shared" si="8"/>
        <v>0</v>
      </c>
      <c r="I62" s="7">
        <f t="shared" si="8"/>
        <v>0</v>
      </c>
      <c r="J62" s="7">
        <f t="shared" si="8"/>
        <v>0</v>
      </c>
      <c r="K62" s="7">
        <f t="shared" si="8"/>
        <v>0</v>
      </c>
      <c r="L62" s="7">
        <f t="shared" si="8"/>
        <v>0</v>
      </c>
      <c r="M62" s="7">
        <f t="shared" si="8"/>
        <v>0</v>
      </c>
      <c r="N62" s="7">
        <f t="shared" si="8"/>
        <v>0</v>
      </c>
      <c r="O62" s="7">
        <f t="shared" si="8"/>
        <v>0</v>
      </c>
    </row>
    <row r="63" spans="1:15" ht="18.95" customHeight="1" outlineLevel="1" x14ac:dyDescent="0.3">
      <c r="A63" s="33" t="s">
        <v>73</v>
      </c>
      <c r="B63" s="33" t="s">
        <v>74</v>
      </c>
      <c r="C63" s="11">
        <v>1</v>
      </c>
      <c r="D63" s="12" t="s">
        <v>8</v>
      </c>
      <c r="E63" s="19">
        <v>0.5</v>
      </c>
      <c r="F63" s="3"/>
      <c r="G63" s="3"/>
      <c r="H63" s="3"/>
      <c r="I63" s="4"/>
      <c r="J63" s="4"/>
      <c r="K63" s="4"/>
      <c r="L63" s="4"/>
      <c r="M63" s="4"/>
      <c r="N63" s="4"/>
      <c r="O63" s="4"/>
    </row>
    <row r="64" spans="1:15" ht="18.95" customHeight="1" outlineLevel="1" x14ac:dyDescent="0.3">
      <c r="A64" s="33"/>
      <c r="B64" s="33"/>
      <c r="C64" s="11">
        <v>2</v>
      </c>
      <c r="D64" s="12" t="s">
        <v>75</v>
      </c>
      <c r="E64" s="19">
        <v>0.2</v>
      </c>
      <c r="F64" s="3"/>
      <c r="G64" s="3"/>
      <c r="H64" s="3"/>
      <c r="I64" s="4"/>
      <c r="J64" s="4"/>
      <c r="K64" s="4"/>
      <c r="L64" s="4"/>
      <c r="M64" s="4"/>
      <c r="N64" s="4"/>
      <c r="O64" s="4"/>
    </row>
    <row r="65" spans="1:15" ht="18.95" customHeight="1" outlineLevel="1" x14ac:dyDescent="0.3">
      <c r="A65" s="33"/>
      <c r="B65" s="33"/>
      <c r="C65" s="11">
        <v>3</v>
      </c>
      <c r="D65" s="12" t="s">
        <v>76</v>
      </c>
      <c r="E65" s="19">
        <v>1</v>
      </c>
      <c r="F65" s="3"/>
      <c r="G65" s="3"/>
      <c r="H65" s="3"/>
      <c r="I65" s="4"/>
      <c r="J65" s="4"/>
      <c r="K65" s="4"/>
      <c r="L65" s="4"/>
      <c r="M65" s="4"/>
      <c r="N65" s="4"/>
      <c r="O65" s="4"/>
    </row>
    <row r="66" spans="1:15" ht="18.95" customHeight="1" outlineLevel="1" x14ac:dyDescent="0.3">
      <c r="A66" s="33"/>
      <c r="B66" s="33"/>
      <c r="C66" s="11">
        <v>4</v>
      </c>
      <c r="D66" s="12" t="s">
        <v>77</v>
      </c>
      <c r="E66" s="19">
        <v>0.2</v>
      </c>
      <c r="F66" s="3"/>
      <c r="G66" s="3"/>
      <c r="H66" s="3"/>
      <c r="I66" s="4"/>
      <c r="J66" s="4"/>
      <c r="K66" s="4"/>
      <c r="L66" s="4"/>
      <c r="M66" s="4"/>
      <c r="N66" s="4"/>
      <c r="O66" s="4"/>
    </row>
    <row r="67" spans="1:15" ht="18.95" customHeight="1" outlineLevel="1" x14ac:dyDescent="0.3">
      <c r="A67" s="33"/>
      <c r="B67" s="33"/>
      <c r="C67" s="16">
        <v>5</v>
      </c>
      <c r="D67" s="13" t="s">
        <v>11</v>
      </c>
      <c r="E67" s="20">
        <v>0.1</v>
      </c>
      <c r="F67" s="14"/>
      <c r="G67" s="14"/>
      <c r="H67" s="14"/>
      <c r="I67" s="15"/>
      <c r="J67" s="15"/>
      <c r="K67" s="15"/>
      <c r="L67" s="15"/>
      <c r="M67" s="15"/>
      <c r="N67" s="15"/>
      <c r="O67" s="15"/>
    </row>
    <row r="68" spans="1:15" ht="18.95" customHeight="1" outlineLevel="1" x14ac:dyDescent="0.3">
      <c r="A68" s="33"/>
      <c r="B68" s="33"/>
      <c r="C68" s="16">
        <v>6</v>
      </c>
      <c r="D68" s="13" t="s">
        <v>48</v>
      </c>
      <c r="E68" s="20">
        <v>0.5</v>
      </c>
      <c r="F68" s="14"/>
      <c r="G68" s="14"/>
      <c r="H68" s="14"/>
      <c r="I68" s="15"/>
      <c r="J68" s="15"/>
      <c r="K68" s="15"/>
      <c r="L68" s="15"/>
      <c r="M68" s="15"/>
      <c r="N68" s="15"/>
      <c r="O68" s="15"/>
    </row>
    <row r="69" spans="1:15" ht="18.95" customHeight="1" outlineLevel="1" x14ac:dyDescent="0.3">
      <c r="A69" s="33"/>
      <c r="B69" s="33"/>
      <c r="C69" s="16">
        <v>7</v>
      </c>
      <c r="D69" s="13" t="s">
        <v>37</v>
      </c>
      <c r="E69" s="20">
        <v>0.1</v>
      </c>
      <c r="F69" s="14"/>
      <c r="G69" s="14"/>
      <c r="H69" s="14"/>
      <c r="I69" s="15"/>
      <c r="J69" s="15"/>
      <c r="K69" s="15"/>
      <c r="L69" s="15"/>
      <c r="M69" s="15"/>
      <c r="N69" s="15"/>
      <c r="O69" s="15"/>
    </row>
    <row r="70" spans="1:15" ht="18.95" customHeight="1" outlineLevel="1" x14ac:dyDescent="0.3">
      <c r="A70" s="33"/>
      <c r="B70" s="33"/>
      <c r="C70" s="16">
        <v>8</v>
      </c>
      <c r="D70" s="13" t="s">
        <v>78</v>
      </c>
      <c r="E70" s="20">
        <v>1</v>
      </c>
      <c r="F70" s="14"/>
      <c r="G70" s="14"/>
      <c r="H70" s="14"/>
      <c r="I70" s="15"/>
      <c r="J70" s="15"/>
      <c r="K70" s="15"/>
      <c r="L70" s="15"/>
      <c r="M70" s="15"/>
      <c r="N70" s="15"/>
      <c r="O70" s="15"/>
    </row>
    <row r="71" spans="1:15" ht="17.25" x14ac:dyDescent="0.3">
      <c r="A71" s="31" t="s">
        <v>4</v>
      </c>
      <c r="B71" s="31"/>
      <c r="C71" s="31"/>
      <c r="D71" s="31"/>
      <c r="E71" s="7">
        <f t="shared" ref="E71:O71" si="9">SUM(E63:E70)</f>
        <v>3.6</v>
      </c>
      <c r="F71" s="7">
        <f t="shared" si="9"/>
        <v>0</v>
      </c>
      <c r="G71" s="7">
        <f t="shared" si="9"/>
        <v>0</v>
      </c>
      <c r="H71" s="7">
        <f t="shared" si="9"/>
        <v>0</v>
      </c>
      <c r="I71" s="7">
        <f t="shared" si="9"/>
        <v>0</v>
      </c>
      <c r="J71" s="7">
        <f t="shared" si="9"/>
        <v>0</v>
      </c>
      <c r="K71" s="7">
        <f t="shared" si="9"/>
        <v>0</v>
      </c>
      <c r="L71" s="7">
        <f t="shared" si="9"/>
        <v>0</v>
      </c>
      <c r="M71" s="7">
        <f t="shared" si="9"/>
        <v>0</v>
      </c>
      <c r="N71" s="7">
        <f t="shared" si="9"/>
        <v>0</v>
      </c>
      <c r="O71" s="7">
        <f t="shared" si="9"/>
        <v>0</v>
      </c>
    </row>
    <row r="72" spans="1:15" ht="18.95" customHeight="1" outlineLevel="1" x14ac:dyDescent="0.3">
      <c r="A72" s="33" t="s">
        <v>79</v>
      </c>
      <c r="B72" s="33" t="s">
        <v>80</v>
      </c>
      <c r="C72" s="11">
        <v>1</v>
      </c>
      <c r="D72" s="12" t="s">
        <v>12</v>
      </c>
      <c r="E72" s="19">
        <v>0.5</v>
      </c>
      <c r="F72" s="3"/>
      <c r="G72" s="3"/>
      <c r="H72" s="3"/>
      <c r="I72" s="4"/>
      <c r="J72" s="4"/>
      <c r="K72" s="4"/>
      <c r="L72" s="4"/>
      <c r="M72" s="4"/>
      <c r="N72" s="4"/>
      <c r="O72" s="4"/>
    </row>
    <row r="73" spans="1:15" ht="18.95" customHeight="1" outlineLevel="1" x14ac:dyDescent="0.3">
      <c r="A73" s="33"/>
      <c r="B73" s="33"/>
      <c r="C73" s="11">
        <v>2</v>
      </c>
      <c r="D73" s="12" t="s">
        <v>81</v>
      </c>
      <c r="E73" s="19">
        <v>0.5</v>
      </c>
      <c r="F73" s="3"/>
      <c r="G73" s="3"/>
      <c r="H73" s="3"/>
      <c r="I73" s="4"/>
      <c r="J73" s="4"/>
      <c r="K73" s="4"/>
      <c r="L73" s="4"/>
      <c r="M73" s="4"/>
      <c r="N73" s="4"/>
      <c r="O73" s="4"/>
    </row>
    <row r="74" spans="1:15" ht="18.95" customHeight="1" outlineLevel="1" x14ac:dyDescent="0.3">
      <c r="A74" s="33"/>
      <c r="B74" s="33"/>
      <c r="C74" s="17">
        <v>3</v>
      </c>
      <c r="D74" s="18" t="s">
        <v>82</v>
      </c>
      <c r="E74" s="21">
        <v>0.4</v>
      </c>
      <c r="F74" s="5"/>
      <c r="G74" s="5"/>
      <c r="H74" s="5"/>
      <c r="I74" s="6"/>
      <c r="J74" s="6"/>
      <c r="K74" s="6"/>
      <c r="L74" s="6"/>
      <c r="M74" s="6"/>
      <c r="N74" s="6"/>
      <c r="O74" s="6"/>
    </row>
    <row r="75" spans="1:15" ht="18.95" customHeight="1" outlineLevel="1" x14ac:dyDescent="0.3">
      <c r="A75" s="33"/>
      <c r="B75" s="33"/>
      <c r="C75" s="17">
        <v>4</v>
      </c>
      <c r="D75" s="18" t="s">
        <v>83</v>
      </c>
      <c r="E75" s="21">
        <v>0.5</v>
      </c>
      <c r="F75" s="5"/>
      <c r="G75" s="5"/>
      <c r="H75" s="5"/>
      <c r="I75" s="6"/>
      <c r="J75" s="6"/>
      <c r="K75" s="6"/>
      <c r="L75" s="6"/>
      <c r="M75" s="6"/>
      <c r="N75" s="6"/>
      <c r="O75" s="6"/>
    </row>
    <row r="76" spans="1:15" ht="18.95" customHeight="1" outlineLevel="1" x14ac:dyDescent="0.3">
      <c r="A76" s="33"/>
      <c r="B76" s="33"/>
      <c r="C76" s="17">
        <v>5</v>
      </c>
      <c r="D76" s="18" t="s">
        <v>84</v>
      </c>
      <c r="E76" s="21">
        <v>0.2</v>
      </c>
      <c r="F76" s="5"/>
      <c r="G76" s="5"/>
      <c r="H76" s="5"/>
      <c r="I76" s="6"/>
      <c r="J76" s="6"/>
      <c r="K76" s="6"/>
      <c r="L76" s="6"/>
      <c r="M76" s="6"/>
      <c r="N76" s="6"/>
      <c r="O76" s="6"/>
    </row>
    <row r="77" spans="1:15" ht="18.95" customHeight="1" outlineLevel="1" x14ac:dyDescent="0.3">
      <c r="A77" s="33"/>
      <c r="B77" s="33"/>
      <c r="C77" s="17">
        <v>6</v>
      </c>
      <c r="D77" s="18" t="s">
        <v>85</v>
      </c>
      <c r="E77" s="21">
        <v>3</v>
      </c>
      <c r="F77" s="5"/>
      <c r="G77" s="5"/>
      <c r="H77" s="5"/>
      <c r="I77" s="6"/>
      <c r="J77" s="6"/>
      <c r="K77" s="6"/>
      <c r="L77" s="6"/>
      <c r="M77" s="6"/>
      <c r="N77" s="6"/>
      <c r="O77" s="6"/>
    </row>
    <row r="78" spans="1:15" ht="17.25" x14ac:dyDescent="0.3">
      <c r="A78" s="31" t="s">
        <v>4</v>
      </c>
      <c r="B78" s="31"/>
      <c r="C78" s="31"/>
      <c r="D78" s="31"/>
      <c r="E78" s="7">
        <f t="shared" ref="E78:O78" si="10">SUM(E72:E77)</f>
        <v>5.0999999999999996</v>
      </c>
      <c r="F78" s="7">
        <f t="shared" si="10"/>
        <v>0</v>
      </c>
      <c r="G78" s="7">
        <f t="shared" si="10"/>
        <v>0</v>
      </c>
      <c r="H78" s="7">
        <f t="shared" si="10"/>
        <v>0</v>
      </c>
      <c r="I78" s="7">
        <f t="shared" si="10"/>
        <v>0</v>
      </c>
      <c r="J78" s="7">
        <f t="shared" si="10"/>
        <v>0</v>
      </c>
      <c r="K78" s="7">
        <f t="shared" si="10"/>
        <v>0</v>
      </c>
      <c r="L78" s="7">
        <f t="shared" si="10"/>
        <v>0</v>
      </c>
      <c r="M78" s="7">
        <f t="shared" si="10"/>
        <v>0</v>
      </c>
      <c r="N78" s="7">
        <f t="shared" si="10"/>
        <v>0</v>
      </c>
      <c r="O78" s="7">
        <f t="shared" si="10"/>
        <v>0</v>
      </c>
    </row>
    <row r="79" spans="1:15" ht="18.95" customHeight="1" outlineLevel="1" x14ac:dyDescent="0.3">
      <c r="A79" s="33" t="s">
        <v>86</v>
      </c>
      <c r="B79" s="33" t="s">
        <v>87</v>
      </c>
      <c r="C79" s="11">
        <v>1</v>
      </c>
      <c r="D79" s="12" t="s">
        <v>36</v>
      </c>
      <c r="E79" s="19">
        <v>0.2</v>
      </c>
      <c r="F79" s="3"/>
      <c r="G79" s="3"/>
      <c r="H79" s="3"/>
      <c r="I79" s="4"/>
      <c r="J79" s="4"/>
      <c r="K79" s="4"/>
      <c r="L79" s="4"/>
      <c r="M79" s="4"/>
      <c r="N79" s="4"/>
      <c r="O79" s="4"/>
    </row>
    <row r="80" spans="1:15" ht="18.95" customHeight="1" outlineLevel="1" x14ac:dyDescent="0.3">
      <c r="A80" s="33"/>
      <c r="B80" s="33"/>
      <c r="C80" s="17">
        <v>2</v>
      </c>
      <c r="D80" s="18" t="s">
        <v>88</v>
      </c>
      <c r="E80" s="21">
        <v>0.5</v>
      </c>
      <c r="F80" s="5"/>
      <c r="G80" s="5"/>
      <c r="H80" s="5"/>
      <c r="I80" s="6"/>
      <c r="J80" s="6"/>
      <c r="K80" s="6"/>
      <c r="L80" s="6"/>
      <c r="M80" s="6"/>
      <c r="N80" s="6"/>
      <c r="O80" s="6"/>
    </row>
    <row r="81" spans="1:15" ht="18.95" customHeight="1" outlineLevel="1" x14ac:dyDescent="0.3">
      <c r="A81" s="33"/>
      <c r="B81" s="33"/>
      <c r="C81" s="16">
        <v>3</v>
      </c>
      <c r="D81" s="13" t="s">
        <v>101</v>
      </c>
      <c r="E81" s="20">
        <v>0.2</v>
      </c>
      <c r="F81" s="14"/>
      <c r="G81" s="14"/>
      <c r="H81" s="14"/>
      <c r="I81" s="15"/>
      <c r="J81" s="15"/>
      <c r="K81" s="15"/>
      <c r="L81" s="15"/>
      <c r="M81" s="15"/>
      <c r="N81" s="15"/>
      <c r="O81" s="15"/>
    </row>
    <row r="82" spans="1:15" ht="18.95" customHeight="1" outlineLevel="1" x14ac:dyDescent="0.3">
      <c r="A82" s="33"/>
      <c r="B82" s="33"/>
      <c r="C82" s="11">
        <v>4</v>
      </c>
      <c r="D82" s="12" t="s">
        <v>90</v>
      </c>
      <c r="E82" s="19">
        <v>0.1</v>
      </c>
      <c r="F82" s="3"/>
      <c r="G82" s="3"/>
      <c r="H82" s="3"/>
      <c r="I82" s="4"/>
      <c r="J82" s="4"/>
      <c r="K82" s="4"/>
      <c r="L82" s="4"/>
      <c r="M82" s="4"/>
      <c r="N82" s="4"/>
      <c r="O82" s="4"/>
    </row>
    <row r="83" spans="1:15" ht="17.25" x14ac:dyDescent="0.3">
      <c r="A83" s="31" t="s">
        <v>4</v>
      </c>
      <c r="B83" s="31"/>
      <c r="C83" s="31"/>
      <c r="D83" s="31"/>
      <c r="E83" s="7">
        <f t="shared" ref="E83:O83" si="11">SUM(E79:E82)</f>
        <v>0.99999999999999989</v>
      </c>
      <c r="F83" s="7">
        <f t="shared" si="11"/>
        <v>0</v>
      </c>
      <c r="G83" s="7">
        <f t="shared" si="11"/>
        <v>0</v>
      </c>
      <c r="H83" s="7">
        <f t="shared" si="11"/>
        <v>0</v>
      </c>
      <c r="I83" s="7">
        <f t="shared" si="11"/>
        <v>0</v>
      </c>
      <c r="J83" s="7">
        <f t="shared" si="11"/>
        <v>0</v>
      </c>
      <c r="K83" s="7">
        <f t="shared" si="11"/>
        <v>0</v>
      </c>
      <c r="L83" s="7">
        <f t="shared" si="11"/>
        <v>0</v>
      </c>
      <c r="M83" s="7">
        <f t="shared" si="11"/>
        <v>0</v>
      </c>
      <c r="N83" s="7">
        <f t="shared" si="11"/>
        <v>0</v>
      </c>
      <c r="O83" s="7">
        <f t="shared" si="11"/>
        <v>0</v>
      </c>
    </row>
    <row r="84" spans="1:15" ht="18.95" customHeight="1" outlineLevel="1" x14ac:dyDescent="0.3">
      <c r="A84" s="33" t="s">
        <v>91</v>
      </c>
      <c r="B84" s="33" t="s">
        <v>92</v>
      </c>
      <c r="C84" s="11">
        <v>1</v>
      </c>
      <c r="D84" s="12" t="s">
        <v>12</v>
      </c>
      <c r="E84" s="19">
        <v>0.1</v>
      </c>
      <c r="F84" s="3"/>
      <c r="G84" s="3"/>
      <c r="H84" s="3"/>
      <c r="I84" s="4"/>
      <c r="J84" s="4"/>
      <c r="K84" s="4"/>
      <c r="L84" s="4"/>
      <c r="M84" s="4"/>
      <c r="N84" s="4"/>
      <c r="O84" s="4"/>
    </row>
    <row r="85" spans="1:15" ht="18.95" customHeight="1" outlineLevel="1" x14ac:dyDescent="0.3">
      <c r="A85" s="33"/>
      <c r="B85" s="33"/>
      <c r="C85" s="17">
        <v>2</v>
      </c>
      <c r="D85" s="18" t="s">
        <v>93</v>
      </c>
      <c r="E85" s="21">
        <v>0.5</v>
      </c>
      <c r="F85" s="5"/>
      <c r="G85" s="5"/>
      <c r="H85" s="5"/>
      <c r="I85" s="6"/>
      <c r="J85" s="6"/>
      <c r="K85" s="6"/>
      <c r="L85" s="6"/>
      <c r="M85" s="6"/>
      <c r="N85" s="6"/>
      <c r="O85" s="6"/>
    </row>
    <row r="86" spans="1:15" ht="17.25" x14ac:dyDescent="0.3">
      <c r="A86" s="31" t="s">
        <v>4</v>
      </c>
      <c r="B86" s="31"/>
      <c r="C86" s="31"/>
      <c r="D86" s="31"/>
      <c r="E86" s="7">
        <f t="shared" ref="E86:O86" si="12">SUM(E84:E85)</f>
        <v>0.6</v>
      </c>
      <c r="F86" s="7">
        <f t="shared" si="12"/>
        <v>0</v>
      </c>
      <c r="G86" s="7">
        <f t="shared" si="12"/>
        <v>0</v>
      </c>
      <c r="H86" s="7">
        <f t="shared" si="12"/>
        <v>0</v>
      </c>
      <c r="I86" s="7">
        <f t="shared" si="12"/>
        <v>0</v>
      </c>
      <c r="J86" s="7">
        <f t="shared" si="12"/>
        <v>0</v>
      </c>
      <c r="K86" s="7">
        <f t="shared" si="12"/>
        <v>0</v>
      </c>
      <c r="L86" s="7">
        <f t="shared" si="12"/>
        <v>0</v>
      </c>
      <c r="M86" s="7">
        <f t="shared" si="12"/>
        <v>0</v>
      </c>
      <c r="N86" s="7">
        <f t="shared" si="12"/>
        <v>0</v>
      </c>
      <c r="O86" s="7">
        <f t="shared" si="12"/>
        <v>0</v>
      </c>
    </row>
    <row r="87" spans="1:15" ht="18.95" customHeight="1" x14ac:dyDescent="0.3">
      <c r="A87" s="32" t="s">
        <v>6</v>
      </c>
      <c r="B87" s="32"/>
      <c r="C87" s="32"/>
      <c r="D87" s="32"/>
      <c r="E87" s="8">
        <f>E5+E18+E24+E34+E51+E56+E62+E71+E78+E83+E86</f>
        <v>34.000000000000007</v>
      </c>
      <c r="F87" s="8">
        <f t="shared" ref="F87:O87" si="13">F5+F18+F24+F34+F51+F56+F62+F71+F78+F83+F86</f>
        <v>0</v>
      </c>
      <c r="G87" s="8">
        <f t="shared" si="13"/>
        <v>0</v>
      </c>
      <c r="H87" s="8">
        <f t="shared" si="13"/>
        <v>0</v>
      </c>
      <c r="I87" s="8">
        <f t="shared" si="13"/>
        <v>0</v>
      </c>
      <c r="J87" s="8">
        <f t="shared" si="13"/>
        <v>0</v>
      </c>
      <c r="K87" s="8">
        <f t="shared" si="13"/>
        <v>0</v>
      </c>
      <c r="L87" s="8">
        <f t="shared" si="13"/>
        <v>0</v>
      </c>
      <c r="M87" s="8">
        <f t="shared" si="13"/>
        <v>0</v>
      </c>
      <c r="N87" s="8">
        <f t="shared" si="13"/>
        <v>0</v>
      </c>
      <c r="O87" s="8">
        <f t="shared" si="13"/>
        <v>0</v>
      </c>
    </row>
  </sheetData>
  <mergeCells count="35">
    <mergeCell ref="C1:D1"/>
    <mergeCell ref="A2:A4"/>
    <mergeCell ref="B2:B4"/>
    <mergeCell ref="A5:D5"/>
    <mergeCell ref="A6:A17"/>
    <mergeCell ref="B6:B17"/>
    <mergeCell ref="A18:D18"/>
    <mergeCell ref="A19:A23"/>
    <mergeCell ref="B19:B23"/>
    <mergeCell ref="A24:D24"/>
    <mergeCell ref="A25:A33"/>
    <mergeCell ref="B25:B33"/>
    <mergeCell ref="A34:D34"/>
    <mergeCell ref="A35:A50"/>
    <mergeCell ref="B35:B50"/>
    <mergeCell ref="A51:D51"/>
    <mergeCell ref="A52:A55"/>
    <mergeCell ref="B52:B55"/>
    <mergeCell ref="A56:D56"/>
    <mergeCell ref="A57:A61"/>
    <mergeCell ref="B57:B61"/>
    <mergeCell ref="A62:D62"/>
    <mergeCell ref="A63:A70"/>
    <mergeCell ref="B63:B70"/>
    <mergeCell ref="A71:D71"/>
    <mergeCell ref="A72:A77"/>
    <mergeCell ref="B72:B77"/>
    <mergeCell ref="A78:D78"/>
    <mergeCell ref="A79:A82"/>
    <mergeCell ref="B79:B82"/>
    <mergeCell ref="A83:D83"/>
    <mergeCell ref="A87:D87"/>
    <mergeCell ref="A84:A85"/>
    <mergeCell ref="B84:B85"/>
    <mergeCell ref="A86:D86"/>
  </mergeCells>
  <phoneticPr fontId="1" type="noConversion"/>
  <conditionalFormatting sqref="F2:O4 F6:O14 F19:O23 F25:O33 F35:O50 F52:O55 F57:O70 F72:O77 F79:O82 F84:O85">
    <cfRule type="expression" dxfId="1" priority="2">
      <formula>$E2&lt;F2</formula>
    </cfRule>
  </conditionalFormatting>
  <pageMargins left="0.31496062992125984" right="0.31496062992125984" top="0.23622047244094491" bottom="0.23622047244094491" header="0" footer="0"/>
  <pageSetup paperSize="8" scale="8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64"/>
  <sheetViews>
    <sheetView zoomScale="85" zoomScaleNormal="85" workbookViewId="0">
      <pane xSplit="5" ySplit="1" topLeftCell="F18" activePane="bottomRight" state="frozen"/>
      <selection pane="topRight" activeCell="F1" sqref="F1"/>
      <selection pane="bottomLeft" activeCell="A2" sqref="A2"/>
      <selection pane="bottomRight" activeCell="E15" sqref="E15"/>
    </sheetView>
  </sheetViews>
  <sheetFormatPr defaultColWidth="9" defaultRowHeight="18.95" customHeight="1" outlineLevelRow="1" x14ac:dyDescent="0.3"/>
  <cols>
    <col min="1" max="1" width="9.125" style="2" bestFit="1" customWidth="1"/>
    <col min="2" max="2" width="14.625" style="2" customWidth="1"/>
    <col min="3" max="3" width="3.625" style="10" customWidth="1"/>
    <col min="4" max="4" width="50.75" customWidth="1"/>
    <col min="5" max="5" width="10.25" style="22" bestFit="1" customWidth="1"/>
    <col min="6" max="15" width="6.625" style="1" customWidth="1"/>
  </cols>
  <sheetData>
    <row r="1" spans="1:15" s="1" customFormat="1" ht="18.95" customHeight="1" x14ac:dyDescent="0.3">
      <c r="A1" s="9" t="s">
        <v>3</v>
      </c>
      <c r="B1" s="9" t="s">
        <v>1</v>
      </c>
      <c r="C1" s="37" t="s">
        <v>2</v>
      </c>
      <c r="D1" s="37"/>
      <c r="E1" s="9" t="s">
        <v>0</v>
      </c>
      <c r="F1" s="9">
        <v>1</v>
      </c>
      <c r="G1" s="9">
        <v>2</v>
      </c>
      <c r="H1" s="9">
        <v>3</v>
      </c>
      <c r="I1" s="9">
        <v>4</v>
      </c>
      <c r="J1" s="9">
        <v>5</v>
      </c>
      <c r="K1" s="9">
        <v>6</v>
      </c>
      <c r="L1" s="9">
        <v>7</v>
      </c>
      <c r="M1" s="9">
        <v>8</v>
      </c>
      <c r="N1" s="9">
        <v>9</v>
      </c>
      <c r="O1" s="9">
        <v>10</v>
      </c>
    </row>
    <row r="2" spans="1:15" ht="18.95" customHeight="1" outlineLevel="1" x14ac:dyDescent="0.3">
      <c r="A2" s="38"/>
      <c r="B2" s="38" t="s">
        <v>5</v>
      </c>
      <c r="C2" s="11">
        <v>1</v>
      </c>
      <c r="D2" s="12" t="s">
        <v>94</v>
      </c>
      <c r="E2" s="19">
        <f>세부채점표!E2</f>
        <v>1</v>
      </c>
      <c r="F2" s="3"/>
      <c r="G2" s="3"/>
      <c r="H2" s="3"/>
      <c r="I2" s="4"/>
      <c r="J2" s="4"/>
      <c r="K2" s="4"/>
      <c r="L2" s="4"/>
      <c r="M2" s="4"/>
      <c r="N2" s="4"/>
      <c r="O2" s="4"/>
    </row>
    <row r="3" spans="1:15" ht="18.95" customHeight="1" outlineLevel="1" x14ac:dyDescent="0.3">
      <c r="A3" s="39"/>
      <c r="B3" s="39"/>
      <c r="C3" s="16">
        <v>2</v>
      </c>
      <c r="D3" s="13" t="s">
        <v>7</v>
      </c>
      <c r="E3" s="20">
        <f>세부채점표!E3</f>
        <v>0.2</v>
      </c>
      <c r="F3" s="14"/>
      <c r="G3" s="14"/>
      <c r="H3" s="14"/>
      <c r="I3" s="15"/>
      <c r="J3" s="15"/>
      <c r="K3" s="15"/>
      <c r="L3" s="15"/>
      <c r="M3" s="15"/>
      <c r="N3" s="15"/>
      <c r="O3" s="15"/>
    </row>
    <row r="4" spans="1:15" ht="18.95" customHeight="1" outlineLevel="1" x14ac:dyDescent="0.3">
      <c r="A4" s="40"/>
      <c r="B4" s="40"/>
      <c r="C4" s="11">
        <v>3</v>
      </c>
      <c r="D4" s="12" t="s">
        <v>17</v>
      </c>
      <c r="E4" s="19">
        <f>세부채점표!E4</f>
        <v>1</v>
      </c>
      <c r="F4" s="3"/>
      <c r="G4" s="3"/>
      <c r="H4" s="3"/>
      <c r="I4" s="4"/>
      <c r="J4" s="4"/>
      <c r="K4" s="4"/>
      <c r="L4" s="4"/>
      <c r="M4" s="4"/>
      <c r="N4" s="4"/>
      <c r="O4" s="4"/>
    </row>
    <row r="5" spans="1:15" ht="18.95" customHeight="1" x14ac:dyDescent="0.3">
      <c r="A5" s="31" t="s">
        <v>4</v>
      </c>
      <c r="B5" s="31"/>
      <c r="C5" s="31"/>
      <c r="D5" s="31"/>
      <c r="E5" s="7">
        <f>SUM(E2:E4)</f>
        <v>2.2000000000000002</v>
      </c>
      <c r="F5" s="7">
        <f t="shared" ref="F5:O5" si="0">SUM(F2:F4)</f>
        <v>0</v>
      </c>
      <c r="G5" s="7">
        <f t="shared" si="0"/>
        <v>0</v>
      </c>
      <c r="H5" s="7">
        <f t="shared" si="0"/>
        <v>0</v>
      </c>
      <c r="I5" s="7">
        <f t="shared" si="0"/>
        <v>0</v>
      </c>
      <c r="J5" s="7">
        <f t="shared" si="0"/>
        <v>0</v>
      </c>
      <c r="K5" s="7">
        <f t="shared" si="0"/>
        <v>0</v>
      </c>
      <c r="L5" s="7">
        <f t="shared" si="0"/>
        <v>0</v>
      </c>
      <c r="M5" s="7">
        <f t="shared" si="0"/>
        <v>0</v>
      </c>
      <c r="N5" s="7">
        <f t="shared" si="0"/>
        <v>0</v>
      </c>
      <c r="O5" s="7">
        <f t="shared" si="0"/>
        <v>0</v>
      </c>
    </row>
    <row r="6" spans="1:15" ht="18.95" customHeight="1" outlineLevel="1" x14ac:dyDescent="0.3">
      <c r="A6" s="33" t="s">
        <v>16</v>
      </c>
      <c r="B6" s="33" t="s">
        <v>9</v>
      </c>
      <c r="C6" s="11">
        <v>1</v>
      </c>
      <c r="D6" s="12" t="s">
        <v>19</v>
      </c>
      <c r="E6" s="19">
        <f>세부채점표!E6</f>
        <v>1</v>
      </c>
      <c r="F6" s="3"/>
      <c r="G6" s="3"/>
      <c r="H6" s="3"/>
      <c r="I6" s="4"/>
      <c r="J6" s="4"/>
      <c r="K6" s="4"/>
      <c r="L6" s="4"/>
      <c r="M6" s="4"/>
      <c r="N6" s="4"/>
      <c r="O6" s="4"/>
    </row>
    <row r="7" spans="1:15" ht="18.95" customHeight="1" outlineLevel="1" x14ac:dyDescent="0.3">
      <c r="A7" s="33"/>
      <c r="B7" s="33"/>
      <c r="C7" s="16">
        <v>2</v>
      </c>
      <c r="D7" s="13" t="s">
        <v>20</v>
      </c>
      <c r="E7" s="20">
        <f>세부채점표!E7</f>
        <v>0.2</v>
      </c>
      <c r="F7" s="14"/>
      <c r="G7" s="14"/>
      <c r="H7" s="14"/>
      <c r="I7" s="15"/>
      <c r="J7" s="15"/>
      <c r="K7" s="15"/>
      <c r="L7" s="15"/>
      <c r="M7" s="15"/>
      <c r="N7" s="15"/>
      <c r="O7" s="15"/>
    </row>
    <row r="8" spans="1:15" ht="18.95" customHeight="1" outlineLevel="1" x14ac:dyDescent="0.3">
      <c r="A8" s="33"/>
      <c r="B8" s="33"/>
      <c r="C8" s="11">
        <v>3</v>
      </c>
      <c r="D8" s="12" t="s">
        <v>21</v>
      </c>
      <c r="E8" s="19">
        <f>세부채점표!E8</f>
        <v>0.5</v>
      </c>
      <c r="F8" s="3"/>
      <c r="G8" s="3"/>
      <c r="H8" s="3"/>
      <c r="I8" s="4"/>
      <c r="J8" s="4"/>
      <c r="K8" s="4"/>
      <c r="L8" s="4"/>
      <c r="M8" s="4"/>
      <c r="N8" s="4"/>
      <c r="O8" s="4"/>
    </row>
    <row r="9" spans="1:15" ht="18.95" customHeight="1" outlineLevel="1" x14ac:dyDescent="0.3">
      <c r="A9" s="33"/>
      <c r="B9" s="33"/>
      <c r="C9" s="16">
        <v>4</v>
      </c>
      <c r="D9" s="13" t="s">
        <v>22</v>
      </c>
      <c r="E9" s="20">
        <f>세부채점표!E9</f>
        <v>0.2</v>
      </c>
      <c r="F9" s="14"/>
      <c r="G9" s="14"/>
      <c r="H9" s="14"/>
      <c r="I9" s="15"/>
      <c r="J9" s="15"/>
      <c r="K9" s="15"/>
      <c r="L9" s="15"/>
      <c r="M9" s="15"/>
      <c r="N9" s="15"/>
      <c r="O9" s="15"/>
    </row>
    <row r="10" spans="1:15" ht="18.95" customHeight="1" outlineLevel="1" x14ac:dyDescent="0.3">
      <c r="A10" s="33"/>
      <c r="B10" s="33"/>
      <c r="C10" s="11">
        <v>5</v>
      </c>
      <c r="D10" s="12" t="s">
        <v>23</v>
      </c>
      <c r="E10" s="19">
        <f>세부채점표!E10</f>
        <v>1.5</v>
      </c>
      <c r="F10" s="3"/>
      <c r="G10" s="3"/>
      <c r="H10" s="3"/>
      <c r="I10" s="4"/>
      <c r="J10" s="4"/>
      <c r="K10" s="4"/>
      <c r="L10" s="4"/>
      <c r="M10" s="4"/>
      <c r="N10" s="4"/>
      <c r="O10" s="4"/>
    </row>
    <row r="11" spans="1:15" ht="18.95" customHeight="1" outlineLevel="1" x14ac:dyDescent="0.3">
      <c r="A11" s="33"/>
      <c r="B11" s="33"/>
      <c r="C11" s="16">
        <v>6</v>
      </c>
      <c r="D11" s="13" t="s">
        <v>24</v>
      </c>
      <c r="E11" s="20">
        <f>세부채점표!E11</f>
        <v>0.1</v>
      </c>
      <c r="F11" s="14"/>
      <c r="G11" s="14"/>
      <c r="H11" s="14"/>
      <c r="I11" s="15"/>
      <c r="J11" s="15"/>
      <c r="K11" s="15"/>
      <c r="L11" s="15"/>
      <c r="M11" s="15"/>
      <c r="N11" s="15"/>
      <c r="O11" s="15"/>
    </row>
    <row r="12" spans="1:15" ht="18.95" customHeight="1" outlineLevel="1" x14ac:dyDescent="0.3">
      <c r="A12" s="33"/>
      <c r="B12" s="33"/>
      <c r="C12" s="11">
        <v>7</v>
      </c>
      <c r="D12" s="12" t="s">
        <v>25</v>
      </c>
      <c r="E12" s="19">
        <f>세부채점표!E12</f>
        <v>0.2</v>
      </c>
      <c r="F12" s="3"/>
      <c r="G12" s="3"/>
      <c r="H12" s="3"/>
      <c r="I12" s="4"/>
      <c r="J12" s="4"/>
      <c r="K12" s="4"/>
      <c r="L12" s="4"/>
      <c r="M12" s="4"/>
      <c r="N12" s="4"/>
      <c r="O12" s="4"/>
    </row>
    <row r="13" spans="1:15" ht="18.95" customHeight="1" outlineLevel="1" x14ac:dyDescent="0.3">
      <c r="A13" s="33"/>
      <c r="B13" s="33"/>
      <c r="C13" s="11">
        <v>8</v>
      </c>
      <c r="D13" s="12" t="s">
        <v>27</v>
      </c>
      <c r="E13" s="19">
        <f>세부채점표!E13</f>
        <v>0.5</v>
      </c>
      <c r="F13" s="3"/>
      <c r="G13" s="3"/>
      <c r="H13" s="3"/>
      <c r="I13" s="4"/>
      <c r="J13" s="4"/>
      <c r="K13" s="4"/>
      <c r="L13" s="4"/>
      <c r="M13" s="4"/>
      <c r="N13" s="4"/>
      <c r="O13" s="4"/>
    </row>
    <row r="14" spans="1:15" ht="18.95" customHeight="1" outlineLevel="1" x14ac:dyDescent="0.3">
      <c r="A14" s="33"/>
      <c r="B14" s="33"/>
      <c r="C14" s="11">
        <v>9</v>
      </c>
      <c r="D14" s="12" t="s">
        <v>26</v>
      </c>
      <c r="E14" s="19">
        <f>세부채점표!E14</f>
        <v>0.5</v>
      </c>
      <c r="F14" s="3"/>
      <c r="G14" s="3"/>
      <c r="H14" s="3"/>
      <c r="I14" s="4"/>
      <c r="J14" s="4"/>
      <c r="K14" s="4"/>
      <c r="L14" s="4"/>
      <c r="M14" s="4"/>
      <c r="N14" s="4"/>
      <c r="O14" s="4"/>
    </row>
    <row r="15" spans="1:15" ht="18.95" customHeight="1" outlineLevel="1" x14ac:dyDescent="0.3">
      <c r="A15" s="33"/>
      <c r="B15" s="33"/>
      <c r="C15" s="16">
        <v>10</v>
      </c>
      <c r="D15" s="13" t="s">
        <v>28</v>
      </c>
      <c r="E15" s="20">
        <f>세부채점표!E15</f>
        <v>0.4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ht="18.95" customHeight="1" outlineLevel="1" x14ac:dyDescent="0.3">
      <c r="A16" s="33"/>
      <c r="B16" s="33"/>
      <c r="C16" s="11">
        <v>11</v>
      </c>
      <c r="D16" s="12" t="s">
        <v>29</v>
      </c>
      <c r="E16" s="19">
        <f>세부채점표!E16</f>
        <v>0.2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</row>
    <row r="17" spans="1:15" ht="18.95" customHeight="1" outlineLevel="1" x14ac:dyDescent="0.3">
      <c r="A17" s="33"/>
      <c r="B17" s="33"/>
      <c r="C17" s="16">
        <v>12</v>
      </c>
      <c r="D17" s="13" t="s">
        <v>30</v>
      </c>
      <c r="E17" s="20">
        <f>세부채점표!E17</f>
        <v>0.2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ht="18.95" customHeight="1" x14ac:dyDescent="0.3">
      <c r="A18" s="31" t="s">
        <v>4</v>
      </c>
      <c r="B18" s="31"/>
      <c r="C18" s="31"/>
      <c r="D18" s="31"/>
      <c r="E18" s="7">
        <f>SUM(E6:E17)</f>
        <v>5.5000000000000009</v>
      </c>
      <c r="F18" s="7">
        <f t="shared" ref="F18" si="1">SUM(F6:F17)</f>
        <v>0</v>
      </c>
      <c r="G18" s="7">
        <f t="shared" ref="G18:O18" si="2">SUM(G6:G17)</f>
        <v>0</v>
      </c>
      <c r="H18" s="7">
        <f t="shared" si="2"/>
        <v>0</v>
      </c>
      <c r="I18" s="7">
        <f t="shared" si="2"/>
        <v>0</v>
      </c>
      <c r="J18" s="7">
        <f t="shared" si="2"/>
        <v>0</v>
      </c>
      <c r="K18" s="7">
        <f t="shared" si="2"/>
        <v>0</v>
      </c>
      <c r="L18" s="7">
        <f t="shared" si="2"/>
        <v>0</v>
      </c>
      <c r="M18" s="7">
        <f t="shared" si="2"/>
        <v>0</v>
      </c>
      <c r="N18" s="7">
        <f t="shared" si="2"/>
        <v>0</v>
      </c>
      <c r="O18" s="7">
        <f t="shared" si="2"/>
        <v>0</v>
      </c>
    </row>
    <row r="19" spans="1:15" ht="18.95" customHeight="1" outlineLevel="1" x14ac:dyDescent="0.3">
      <c r="A19" s="34" t="s">
        <v>31</v>
      </c>
      <c r="B19" s="36" t="s">
        <v>10</v>
      </c>
      <c r="C19" s="11">
        <v>1</v>
      </c>
      <c r="D19" s="12" t="s">
        <v>8</v>
      </c>
      <c r="E19" s="19">
        <f>세부채점표!E19</f>
        <v>0.2</v>
      </c>
      <c r="F19" s="3"/>
      <c r="G19" s="3"/>
      <c r="H19" s="3"/>
      <c r="I19" s="4"/>
      <c r="J19" s="4"/>
      <c r="K19" s="4"/>
      <c r="L19" s="4"/>
      <c r="M19" s="4"/>
      <c r="N19" s="4"/>
      <c r="O19" s="4"/>
    </row>
    <row r="20" spans="1:15" ht="18.95" customHeight="1" outlineLevel="1" x14ac:dyDescent="0.3">
      <c r="A20" s="34"/>
      <c r="B20" s="36"/>
      <c r="C20" s="16">
        <v>2</v>
      </c>
      <c r="D20" s="13" t="s">
        <v>95</v>
      </c>
      <c r="E20" s="20">
        <f>SUM(세부채점표!E20:E23)</f>
        <v>0.79999999999999993</v>
      </c>
      <c r="F20" s="14"/>
      <c r="G20" s="14"/>
      <c r="H20" s="14"/>
      <c r="I20" s="15"/>
      <c r="J20" s="15"/>
      <c r="K20" s="15"/>
      <c r="L20" s="15"/>
      <c r="M20" s="15"/>
      <c r="N20" s="15"/>
      <c r="O20" s="15"/>
    </row>
    <row r="21" spans="1:15" ht="18.95" customHeight="1" x14ac:dyDescent="0.3">
      <c r="A21" s="31" t="s">
        <v>4</v>
      </c>
      <c r="B21" s="31"/>
      <c r="C21" s="31"/>
      <c r="D21" s="31"/>
      <c r="E21" s="7">
        <f t="shared" ref="E21:O21" si="3">SUM(E19:E20)</f>
        <v>1</v>
      </c>
      <c r="F21" s="7">
        <f t="shared" si="3"/>
        <v>0</v>
      </c>
      <c r="G21" s="7">
        <f t="shared" si="3"/>
        <v>0</v>
      </c>
      <c r="H21" s="7">
        <f t="shared" si="3"/>
        <v>0</v>
      </c>
      <c r="I21" s="7">
        <f t="shared" si="3"/>
        <v>0</v>
      </c>
      <c r="J21" s="7">
        <f t="shared" si="3"/>
        <v>0</v>
      </c>
      <c r="K21" s="7">
        <f t="shared" si="3"/>
        <v>0</v>
      </c>
      <c r="L21" s="7">
        <f t="shared" si="3"/>
        <v>0</v>
      </c>
      <c r="M21" s="7">
        <f t="shared" si="3"/>
        <v>0</v>
      </c>
      <c r="N21" s="7">
        <f t="shared" si="3"/>
        <v>0</v>
      </c>
      <c r="O21" s="7">
        <f t="shared" si="3"/>
        <v>0</v>
      </c>
    </row>
    <row r="22" spans="1:15" ht="18.75" customHeight="1" outlineLevel="1" x14ac:dyDescent="0.3">
      <c r="A22" s="34" t="s">
        <v>34</v>
      </c>
      <c r="B22" s="34" t="s">
        <v>35</v>
      </c>
      <c r="C22" s="11">
        <v>1</v>
      </c>
      <c r="D22" s="12" t="s">
        <v>36</v>
      </c>
      <c r="E22" s="19">
        <f>세부채점표!E25</f>
        <v>1</v>
      </c>
      <c r="F22" s="3"/>
      <c r="G22" s="3"/>
      <c r="H22" s="3"/>
      <c r="I22" s="4"/>
      <c r="J22" s="4"/>
      <c r="K22" s="4"/>
      <c r="L22" s="4"/>
      <c r="M22" s="4"/>
      <c r="N22" s="4"/>
      <c r="O22" s="4"/>
    </row>
    <row r="23" spans="1:15" ht="18.75" customHeight="1" outlineLevel="1" x14ac:dyDescent="0.3">
      <c r="A23" s="34"/>
      <c r="B23" s="34"/>
      <c r="C23" s="11">
        <v>2</v>
      </c>
      <c r="D23" s="12" t="s">
        <v>37</v>
      </c>
      <c r="E23" s="19">
        <f>세부채점표!E26</f>
        <v>0.4</v>
      </c>
      <c r="F23" s="3"/>
      <c r="G23" s="3"/>
      <c r="H23" s="3"/>
      <c r="I23" s="4"/>
      <c r="J23" s="4"/>
      <c r="K23" s="4"/>
      <c r="L23" s="4"/>
      <c r="M23" s="4"/>
      <c r="N23" s="4"/>
      <c r="O23" s="4"/>
    </row>
    <row r="24" spans="1:15" ht="18.75" customHeight="1" outlineLevel="1" x14ac:dyDescent="0.3">
      <c r="A24" s="34"/>
      <c r="B24" s="34"/>
      <c r="C24" s="11">
        <v>3</v>
      </c>
      <c r="D24" s="12" t="s">
        <v>38</v>
      </c>
      <c r="E24" s="19">
        <f>세부채점표!E27</f>
        <v>0.4</v>
      </c>
      <c r="F24" s="3"/>
      <c r="G24" s="3"/>
      <c r="H24" s="3"/>
      <c r="I24" s="4"/>
      <c r="J24" s="4"/>
      <c r="K24" s="4"/>
      <c r="L24" s="4"/>
      <c r="M24" s="4"/>
      <c r="N24" s="4"/>
      <c r="O24" s="4"/>
    </row>
    <row r="25" spans="1:15" ht="18.75" customHeight="1" outlineLevel="1" x14ac:dyDescent="0.3">
      <c r="A25" s="34"/>
      <c r="B25" s="34"/>
      <c r="C25" s="11">
        <v>4</v>
      </c>
      <c r="D25" s="12" t="s">
        <v>39</v>
      </c>
      <c r="E25" s="19">
        <f>세부채점표!E28</f>
        <v>0.2</v>
      </c>
      <c r="F25" s="3"/>
      <c r="G25" s="3"/>
      <c r="H25" s="3"/>
      <c r="I25" s="4"/>
      <c r="J25" s="4"/>
      <c r="K25" s="4"/>
      <c r="L25" s="4"/>
      <c r="M25" s="4"/>
      <c r="N25" s="4"/>
      <c r="O25" s="4"/>
    </row>
    <row r="26" spans="1:15" ht="18.75" customHeight="1" outlineLevel="1" x14ac:dyDescent="0.3">
      <c r="A26" s="34"/>
      <c r="B26" s="34"/>
      <c r="C26" s="11">
        <v>5</v>
      </c>
      <c r="D26" s="12" t="s">
        <v>40</v>
      </c>
      <c r="E26" s="19">
        <f>세부채점표!E29</f>
        <v>0.5</v>
      </c>
      <c r="F26" s="3"/>
      <c r="G26" s="3"/>
      <c r="H26" s="3"/>
      <c r="I26" s="4"/>
      <c r="J26" s="4"/>
      <c r="K26" s="4"/>
      <c r="L26" s="4"/>
      <c r="M26" s="4"/>
      <c r="N26" s="4"/>
      <c r="O26" s="4"/>
    </row>
    <row r="27" spans="1:15" ht="18.75" customHeight="1" outlineLevel="1" x14ac:dyDescent="0.3">
      <c r="A27" s="34"/>
      <c r="B27" s="34"/>
      <c r="C27" s="11">
        <v>6</v>
      </c>
      <c r="D27" s="12" t="s">
        <v>41</v>
      </c>
      <c r="E27" s="19">
        <f>세부채점표!E30</f>
        <v>0.2</v>
      </c>
      <c r="F27" s="3"/>
      <c r="G27" s="3"/>
      <c r="H27" s="3"/>
      <c r="I27" s="4"/>
      <c r="J27" s="4"/>
      <c r="K27" s="4"/>
      <c r="L27" s="4"/>
      <c r="M27" s="4"/>
      <c r="N27" s="4"/>
      <c r="O27" s="4"/>
    </row>
    <row r="28" spans="1:15" ht="18.75" customHeight="1" outlineLevel="1" x14ac:dyDescent="0.3">
      <c r="A28" s="34"/>
      <c r="B28" s="34"/>
      <c r="C28" s="11">
        <v>7</v>
      </c>
      <c r="D28" s="12" t="s">
        <v>42</v>
      </c>
      <c r="E28" s="19">
        <f>세부채점표!E31</f>
        <v>0.2</v>
      </c>
      <c r="F28" s="3"/>
      <c r="G28" s="3"/>
      <c r="H28" s="3"/>
      <c r="I28" s="4"/>
      <c r="J28" s="4"/>
      <c r="K28" s="4"/>
      <c r="L28" s="4"/>
      <c r="M28" s="4"/>
      <c r="N28" s="4"/>
      <c r="O28" s="4"/>
    </row>
    <row r="29" spans="1:15" ht="18.75" customHeight="1" outlineLevel="1" x14ac:dyDescent="0.3">
      <c r="A29" s="34"/>
      <c r="B29" s="34"/>
      <c r="C29" s="11">
        <v>8</v>
      </c>
      <c r="D29" s="12" t="s">
        <v>44</v>
      </c>
      <c r="E29" s="19">
        <f>세부채점표!E32</f>
        <v>0.2</v>
      </c>
      <c r="F29" s="3"/>
      <c r="G29" s="3"/>
      <c r="H29" s="3"/>
      <c r="I29" s="4"/>
      <c r="J29" s="4"/>
      <c r="K29" s="4"/>
      <c r="L29" s="4"/>
      <c r="M29" s="4"/>
      <c r="N29" s="4"/>
      <c r="O29" s="4"/>
    </row>
    <row r="30" spans="1:15" ht="18.75" customHeight="1" outlineLevel="1" x14ac:dyDescent="0.3">
      <c r="A30" s="34"/>
      <c r="B30" s="34"/>
      <c r="C30" s="11">
        <v>9</v>
      </c>
      <c r="D30" s="12" t="s">
        <v>43</v>
      </c>
      <c r="E30" s="19">
        <f>세부채점표!E33</f>
        <v>0.5</v>
      </c>
      <c r="F30" s="3"/>
      <c r="G30" s="3"/>
      <c r="H30" s="3"/>
      <c r="I30" s="4"/>
      <c r="J30" s="4"/>
      <c r="K30" s="4"/>
      <c r="L30" s="4"/>
      <c r="M30" s="4"/>
      <c r="N30" s="4"/>
      <c r="O30" s="4"/>
    </row>
    <row r="31" spans="1:15" ht="18.95" customHeight="1" x14ac:dyDescent="0.3">
      <c r="A31" s="31" t="s">
        <v>4</v>
      </c>
      <c r="B31" s="31"/>
      <c r="C31" s="31"/>
      <c r="D31" s="31"/>
      <c r="E31" s="7">
        <f t="shared" ref="E31:O31" si="4">SUM(E22:E30)</f>
        <v>3.6000000000000005</v>
      </c>
      <c r="F31" s="7">
        <f t="shared" si="4"/>
        <v>0</v>
      </c>
      <c r="G31" s="7">
        <f t="shared" si="4"/>
        <v>0</v>
      </c>
      <c r="H31" s="7">
        <f t="shared" si="4"/>
        <v>0</v>
      </c>
      <c r="I31" s="7">
        <f t="shared" si="4"/>
        <v>0</v>
      </c>
      <c r="J31" s="7">
        <f t="shared" si="4"/>
        <v>0</v>
      </c>
      <c r="K31" s="7">
        <f t="shared" si="4"/>
        <v>0</v>
      </c>
      <c r="L31" s="7">
        <f t="shared" si="4"/>
        <v>0</v>
      </c>
      <c r="M31" s="7">
        <f t="shared" si="4"/>
        <v>0</v>
      </c>
      <c r="N31" s="7">
        <f t="shared" si="4"/>
        <v>0</v>
      </c>
      <c r="O31" s="7">
        <f t="shared" si="4"/>
        <v>0</v>
      </c>
    </row>
    <row r="32" spans="1:15" ht="18.95" customHeight="1" outlineLevel="1" x14ac:dyDescent="0.3">
      <c r="A32" s="34" t="s">
        <v>45</v>
      </c>
      <c r="B32" s="34" t="s">
        <v>13</v>
      </c>
      <c r="C32" s="11">
        <v>1</v>
      </c>
      <c r="D32" s="12" t="s">
        <v>96</v>
      </c>
      <c r="E32" s="19">
        <f>SUM(세부채점표!E35:E41)</f>
        <v>3</v>
      </c>
      <c r="F32" s="3"/>
      <c r="G32" s="3"/>
      <c r="H32" s="3"/>
      <c r="I32" s="4"/>
      <c r="J32" s="4"/>
      <c r="K32" s="4"/>
      <c r="L32" s="4"/>
      <c r="M32" s="4"/>
      <c r="N32" s="4"/>
      <c r="O32" s="4"/>
    </row>
    <row r="33" spans="1:15" ht="18.95" customHeight="1" outlineLevel="1" x14ac:dyDescent="0.3">
      <c r="A33" s="34"/>
      <c r="B33" s="34"/>
      <c r="C33" s="11">
        <v>2</v>
      </c>
      <c r="D33" s="12" t="s">
        <v>97</v>
      </c>
      <c r="E33" s="19">
        <f>SUM(세부채점표!E42:E45)</f>
        <v>1.6</v>
      </c>
      <c r="F33" s="3"/>
      <c r="G33" s="3"/>
      <c r="H33" s="3"/>
      <c r="I33" s="4"/>
      <c r="J33" s="4"/>
      <c r="K33" s="4"/>
      <c r="L33" s="4"/>
      <c r="M33" s="4"/>
      <c r="N33" s="4"/>
      <c r="O33" s="4"/>
    </row>
    <row r="34" spans="1:15" ht="18.95" customHeight="1" outlineLevel="1" x14ac:dyDescent="0.3">
      <c r="A34" s="34"/>
      <c r="B34" s="34"/>
      <c r="C34" s="11">
        <v>3</v>
      </c>
      <c r="D34" s="12" t="s">
        <v>98</v>
      </c>
      <c r="E34" s="19">
        <f>SUM(세부채점표!E46:E50)</f>
        <v>2.3000000000000003</v>
      </c>
      <c r="F34" s="3"/>
      <c r="G34" s="3"/>
      <c r="H34" s="3"/>
      <c r="I34" s="4"/>
      <c r="J34" s="4"/>
      <c r="K34" s="4"/>
      <c r="L34" s="4"/>
      <c r="M34" s="4"/>
      <c r="N34" s="4"/>
      <c r="O34" s="4"/>
    </row>
    <row r="35" spans="1:15" ht="18.95" customHeight="1" x14ac:dyDescent="0.3">
      <c r="A35" s="31" t="s">
        <v>4</v>
      </c>
      <c r="B35" s="31"/>
      <c r="C35" s="31"/>
      <c r="D35" s="31"/>
      <c r="E35" s="7">
        <f t="shared" ref="E35:O35" si="5">SUM(E32:E34)</f>
        <v>6.9</v>
      </c>
      <c r="F35" s="7">
        <f t="shared" si="5"/>
        <v>0</v>
      </c>
      <c r="G35" s="7">
        <f t="shared" si="5"/>
        <v>0</v>
      </c>
      <c r="H35" s="7">
        <f t="shared" si="5"/>
        <v>0</v>
      </c>
      <c r="I35" s="7">
        <f t="shared" si="5"/>
        <v>0</v>
      </c>
      <c r="J35" s="7">
        <f t="shared" si="5"/>
        <v>0</v>
      </c>
      <c r="K35" s="7">
        <f t="shared" si="5"/>
        <v>0</v>
      </c>
      <c r="L35" s="7">
        <f t="shared" si="5"/>
        <v>0</v>
      </c>
      <c r="M35" s="7">
        <f t="shared" si="5"/>
        <v>0</v>
      </c>
      <c r="N35" s="7">
        <f t="shared" si="5"/>
        <v>0</v>
      </c>
      <c r="O35" s="7">
        <f t="shared" si="5"/>
        <v>0</v>
      </c>
    </row>
    <row r="36" spans="1:15" ht="18.95" customHeight="1" outlineLevel="1" x14ac:dyDescent="0.3">
      <c r="A36" s="33" t="s">
        <v>62</v>
      </c>
      <c r="B36" s="35" t="s">
        <v>63</v>
      </c>
      <c r="C36" s="11">
        <v>1</v>
      </c>
      <c r="D36" s="12" t="s">
        <v>8</v>
      </c>
      <c r="E36" s="24">
        <f>세부채점표!E52</f>
        <v>0.2</v>
      </c>
      <c r="F36" s="3"/>
      <c r="G36" s="3"/>
      <c r="H36" s="3"/>
      <c r="I36" s="4"/>
      <c r="J36" s="4"/>
      <c r="K36" s="4"/>
      <c r="L36" s="4"/>
      <c r="M36" s="4"/>
      <c r="N36" s="4"/>
      <c r="O36" s="4"/>
    </row>
    <row r="37" spans="1:15" ht="18.95" customHeight="1" outlineLevel="1" x14ac:dyDescent="0.3">
      <c r="A37" s="33"/>
      <c r="B37" s="33"/>
      <c r="C37" s="11">
        <v>2</v>
      </c>
      <c r="D37" s="23" t="s">
        <v>66</v>
      </c>
      <c r="E37" s="24">
        <f>세부채점표!E53</f>
        <v>0.1</v>
      </c>
      <c r="F37" s="3"/>
      <c r="G37" s="3"/>
      <c r="H37" s="3"/>
      <c r="I37" s="4"/>
      <c r="J37" s="4"/>
      <c r="K37" s="4"/>
      <c r="L37" s="4"/>
      <c r="M37" s="4"/>
      <c r="N37" s="4"/>
      <c r="O37" s="4"/>
    </row>
    <row r="38" spans="1:15" ht="18.95" customHeight="1" outlineLevel="1" x14ac:dyDescent="0.3">
      <c r="A38" s="33"/>
      <c r="B38" s="33"/>
      <c r="C38" s="11">
        <v>3</v>
      </c>
      <c r="D38" s="23" t="s">
        <v>64</v>
      </c>
      <c r="E38" s="24">
        <f>세부채점표!E54</f>
        <v>0.8</v>
      </c>
      <c r="F38" s="3"/>
      <c r="G38" s="3"/>
      <c r="H38" s="3"/>
      <c r="I38" s="4"/>
      <c r="J38" s="4"/>
      <c r="K38" s="4"/>
      <c r="L38" s="4"/>
      <c r="M38" s="4"/>
      <c r="N38" s="4"/>
      <c r="O38" s="4"/>
    </row>
    <row r="39" spans="1:15" ht="18.95" customHeight="1" outlineLevel="1" x14ac:dyDescent="0.3">
      <c r="A39" s="33"/>
      <c r="B39" s="33"/>
      <c r="C39" s="11">
        <v>4</v>
      </c>
      <c r="D39" s="12" t="s">
        <v>65</v>
      </c>
      <c r="E39" s="24">
        <f>세부채점표!E55</f>
        <v>1</v>
      </c>
      <c r="F39" s="3"/>
      <c r="G39" s="3"/>
      <c r="H39" s="3"/>
      <c r="I39" s="4"/>
      <c r="J39" s="4"/>
      <c r="K39" s="4"/>
      <c r="L39" s="4"/>
      <c r="M39" s="4"/>
      <c r="N39" s="4"/>
      <c r="O39" s="4"/>
    </row>
    <row r="40" spans="1:15" ht="18.95" customHeight="1" x14ac:dyDescent="0.3">
      <c r="A40" s="31" t="s">
        <v>4</v>
      </c>
      <c r="B40" s="31"/>
      <c r="C40" s="31"/>
      <c r="D40" s="31"/>
      <c r="E40" s="7">
        <f t="shared" ref="E40:O40" si="6">SUM(E36:E39)</f>
        <v>2.1</v>
      </c>
      <c r="F40" s="7">
        <f t="shared" si="6"/>
        <v>0</v>
      </c>
      <c r="G40" s="7">
        <f t="shared" si="6"/>
        <v>0</v>
      </c>
      <c r="H40" s="7">
        <f t="shared" si="6"/>
        <v>0</v>
      </c>
      <c r="I40" s="7">
        <f t="shared" si="6"/>
        <v>0</v>
      </c>
      <c r="J40" s="7">
        <f t="shared" si="6"/>
        <v>0</v>
      </c>
      <c r="K40" s="7">
        <f t="shared" si="6"/>
        <v>0</v>
      </c>
      <c r="L40" s="7">
        <f t="shared" si="6"/>
        <v>0</v>
      </c>
      <c r="M40" s="7">
        <f t="shared" si="6"/>
        <v>0</v>
      </c>
      <c r="N40" s="7">
        <f t="shared" si="6"/>
        <v>0</v>
      </c>
      <c r="O40" s="7">
        <f t="shared" si="6"/>
        <v>0</v>
      </c>
    </row>
    <row r="41" spans="1:15" ht="18.95" customHeight="1" outlineLevel="1" x14ac:dyDescent="0.3">
      <c r="A41" s="34" t="s">
        <v>67</v>
      </c>
      <c r="B41" s="34" t="s">
        <v>68</v>
      </c>
      <c r="C41" s="11">
        <v>1</v>
      </c>
      <c r="D41" s="12" t="s">
        <v>12</v>
      </c>
      <c r="E41" s="19">
        <f>SUM(세부채점표!E57:E58)</f>
        <v>0.8</v>
      </c>
      <c r="F41" s="3"/>
      <c r="G41" s="3"/>
      <c r="H41" s="3"/>
      <c r="I41" s="4"/>
      <c r="J41" s="4"/>
      <c r="K41" s="4"/>
      <c r="L41" s="4"/>
      <c r="M41" s="4"/>
      <c r="N41" s="4"/>
      <c r="O41" s="4"/>
    </row>
    <row r="42" spans="1:15" ht="18.95" customHeight="1" outlineLevel="1" x14ac:dyDescent="0.3">
      <c r="A42" s="34"/>
      <c r="B42" s="34"/>
      <c r="C42" s="16">
        <v>3</v>
      </c>
      <c r="D42" s="13" t="s">
        <v>69</v>
      </c>
      <c r="E42" s="20">
        <f>세부채점표!E59</f>
        <v>0.5</v>
      </c>
      <c r="F42" s="14"/>
      <c r="G42" s="14"/>
      <c r="H42" s="14"/>
      <c r="I42" s="15"/>
      <c r="J42" s="15"/>
      <c r="K42" s="15"/>
      <c r="L42" s="15"/>
      <c r="M42" s="15"/>
      <c r="N42" s="15"/>
      <c r="O42" s="15"/>
    </row>
    <row r="43" spans="1:15" ht="18.95" customHeight="1" outlineLevel="1" x14ac:dyDescent="0.3">
      <c r="A43" s="34"/>
      <c r="B43" s="34"/>
      <c r="C43" s="11">
        <v>4</v>
      </c>
      <c r="D43" s="12" t="s">
        <v>99</v>
      </c>
      <c r="E43" s="19">
        <f>SUM(세부채점표!E60:E61)</f>
        <v>1.1000000000000001</v>
      </c>
      <c r="F43" s="3"/>
      <c r="G43" s="3"/>
      <c r="H43" s="3"/>
      <c r="I43" s="4"/>
      <c r="J43" s="4"/>
      <c r="K43" s="4"/>
      <c r="L43" s="4"/>
      <c r="M43" s="4"/>
      <c r="N43" s="4"/>
      <c r="O43" s="4"/>
    </row>
    <row r="44" spans="1:15" ht="17.25" x14ac:dyDescent="0.3">
      <c r="A44" s="31" t="s">
        <v>4</v>
      </c>
      <c r="B44" s="31"/>
      <c r="C44" s="31"/>
      <c r="D44" s="31"/>
      <c r="E44" s="7">
        <f t="shared" ref="E44:O44" si="7">SUM(E41:E43)</f>
        <v>2.4000000000000004</v>
      </c>
      <c r="F44" s="7">
        <f t="shared" si="7"/>
        <v>0</v>
      </c>
      <c r="G44" s="7">
        <f t="shared" si="7"/>
        <v>0</v>
      </c>
      <c r="H44" s="7">
        <f t="shared" si="7"/>
        <v>0</v>
      </c>
      <c r="I44" s="7">
        <f t="shared" si="7"/>
        <v>0</v>
      </c>
      <c r="J44" s="7">
        <f t="shared" si="7"/>
        <v>0</v>
      </c>
      <c r="K44" s="7">
        <f t="shared" si="7"/>
        <v>0</v>
      </c>
      <c r="L44" s="7">
        <f t="shared" si="7"/>
        <v>0</v>
      </c>
      <c r="M44" s="7">
        <f t="shared" si="7"/>
        <v>0</v>
      </c>
      <c r="N44" s="7">
        <f t="shared" si="7"/>
        <v>0</v>
      </c>
      <c r="O44" s="7">
        <f t="shared" si="7"/>
        <v>0</v>
      </c>
    </row>
    <row r="45" spans="1:15" ht="18.95" customHeight="1" outlineLevel="1" x14ac:dyDescent="0.3">
      <c r="A45" s="33" t="s">
        <v>73</v>
      </c>
      <c r="B45" s="33" t="s">
        <v>74</v>
      </c>
      <c r="C45" s="11">
        <v>1</v>
      </c>
      <c r="D45" s="12" t="s">
        <v>8</v>
      </c>
      <c r="E45" s="19">
        <f>세부채점표!E63</f>
        <v>0.5</v>
      </c>
      <c r="F45" s="3"/>
      <c r="G45" s="3"/>
      <c r="H45" s="3"/>
      <c r="I45" s="4"/>
      <c r="J45" s="4"/>
      <c r="K45" s="4"/>
      <c r="L45" s="4"/>
      <c r="M45" s="4"/>
      <c r="N45" s="4"/>
      <c r="O45" s="4"/>
    </row>
    <row r="46" spans="1:15" ht="18.95" customHeight="1" outlineLevel="1" x14ac:dyDescent="0.3">
      <c r="A46" s="33"/>
      <c r="B46" s="33"/>
      <c r="C46" s="11">
        <v>2</v>
      </c>
      <c r="D46" s="12" t="s">
        <v>75</v>
      </c>
      <c r="E46" s="19">
        <f>세부채점표!E64</f>
        <v>0.2</v>
      </c>
      <c r="F46" s="3"/>
      <c r="G46" s="3"/>
      <c r="H46" s="3"/>
      <c r="I46" s="4"/>
      <c r="J46" s="4"/>
      <c r="K46" s="4"/>
      <c r="L46" s="4"/>
      <c r="M46" s="4"/>
      <c r="N46" s="4"/>
      <c r="O46" s="4"/>
    </row>
    <row r="47" spans="1:15" ht="18.95" customHeight="1" outlineLevel="1" x14ac:dyDescent="0.3">
      <c r="A47" s="33"/>
      <c r="B47" s="33"/>
      <c r="C47" s="11">
        <v>3</v>
      </c>
      <c r="D47" s="12" t="s">
        <v>76</v>
      </c>
      <c r="E47" s="19">
        <f>세부채점표!E65</f>
        <v>1</v>
      </c>
      <c r="F47" s="3"/>
      <c r="G47" s="3"/>
      <c r="H47" s="3"/>
      <c r="I47" s="4"/>
      <c r="J47" s="4"/>
      <c r="K47" s="4"/>
      <c r="L47" s="4"/>
      <c r="M47" s="4"/>
      <c r="N47" s="4"/>
      <c r="O47" s="4"/>
    </row>
    <row r="48" spans="1:15" ht="18.95" customHeight="1" outlineLevel="1" x14ac:dyDescent="0.3">
      <c r="A48" s="33"/>
      <c r="B48" s="33"/>
      <c r="C48" s="11">
        <v>4</v>
      </c>
      <c r="D48" s="12" t="s">
        <v>77</v>
      </c>
      <c r="E48" s="19">
        <f>세부채점표!E66</f>
        <v>0.2</v>
      </c>
      <c r="F48" s="3"/>
      <c r="G48" s="3"/>
      <c r="H48" s="3"/>
      <c r="I48" s="4"/>
      <c r="J48" s="4"/>
      <c r="K48" s="4"/>
      <c r="L48" s="4"/>
      <c r="M48" s="4"/>
      <c r="N48" s="4"/>
      <c r="O48" s="4"/>
    </row>
    <row r="49" spans="1:15" ht="18.95" customHeight="1" outlineLevel="1" x14ac:dyDescent="0.3">
      <c r="A49" s="33"/>
      <c r="B49" s="33"/>
      <c r="C49" s="16">
        <v>5</v>
      </c>
      <c r="D49" s="13" t="s">
        <v>100</v>
      </c>
      <c r="E49" s="20">
        <f>SUM(세부채점표!E67:E70)</f>
        <v>1.7</v>
      </c>
      <c r="F49" s="14"/>
      <c r="G49" s="14"/>
      <c r="H49" s="14"/>
      <c r="I49" s="15"/>
      <c r="J49" s="15"/>
      <c r="K49" s="15"/>
      <c r="L49" s="15"/>
      <c r="M49" s="15"/>
      <c r="N49" s="15"/>
      <c r="O49" s="15"/>
    </row>
    <row r="50" spans="1:15" ht="17.25" x14ac:dyDescent="0.3">
      <c r="A50" s="31" t="s">
        <v>4</v>
      </c>
      <c r="B50" s="31"/>
      <c r="C50" s="31"/>
      <c r="D50" s="31"/>
      <c r="E50" s="7">
        <f t="shared" ref="E50:O50" si="8">SUM(E45:E49)</f>
        <v>3.5999999999999996</v>
      </c>
      <c r="F50" s="7">
        <f t="shared" si="8"/>
        <v>0</v>
      </c>
      <c r="G50" s="7">
        <f t="shared" si="8"/>
        <v>0</v>
      </c>
      <c r="H50" s="7">
        <f t="shared" si="8"/>
        <v>0</v>
      </c>
      <c r="I50" s="7">
        <f t="shared" si="8"/>
        <v>0</v>
      </c>
      <c r="J50" s="7">
        <f t="shared" si="8"/>
        <v>0</v>
      </c>
      <c r="K50" s="7">
        <f t="shared" si="8"/>
        <v>0</v>
      </c>
      <c r="L50" s="7">
        <f t="shared" si="8"/>
        <v>0</v>
      </c>
      <c r="M50" s="7">
        <f t="shared" si="8"/>
        <v>0</v>
      </c>
      <c r="N50" s="7">
        <f t="shared" si="8"/>
        <v>0</v>
      </c>
      <c r="O50" s="7">
        <f t="shared" si="8"/>
        <v>0</v>
      </c>
    </row>
    <row r="51" spans="1:15" ht="18.95" customHeight="1" outlineLevel="1" x14ac:dyDescent="0.3">
      <c r="A51" s="33" t="s">
        <v>79</v>
      </c>
      <c r="B51" s="33" t="s">
        <v>80</v>
      </c>
      <c r="C51" s="11">
        <v>1</v>
      </c>
      <c r="D51" s="12" t="s">
        <v>19</v>
      </c>
      <c r="E51" s="19">
        <f>SUM(세부채점표!E72:E73)</f>
        <v>1</v>
      </c>
      <c r="F51" s="3"/>
      <c r="G51" s="3"/>
      <c r="H51" s="3"/>
      <c r="I51" s="4"/>
      <c r="J51" s="4"/>
      <c r="K51" s="4"/>
      <c r="L51" s="4"/>
      <c r="M51" s="4"/>
      <c r="N51" s="4"/>
      <c r="O51" s="4"/>
    </row>
    <row r="52" spans="1:15" ht="18.95" customHeight="1" outlineLevel="1" x14ac:dyDescent="0.3">
      <c r="A52" s="33"/>
      <c r="B52" s="33"/>
      <c r="C52" s="17">
        <v>2</v>
      </c>
      <c r="D52" s="18" t="s">
        <v>82</v>
      </c>
      <c r="E52" s="21">
        <f>세부채점표!E74</f>
        <v>0.4</v>
      </c>
      <c r="F52" s="5"/>
      <c r="G52" s="5"/>
      <c r="H52" s="5"/>
      <c r="I52" s="6"/>
      <c r="J52" s="6"/>
      <c r="K52" s="6"/>
      <c r="L52" s="6"/>
      <c r="M52" s="6"/>
      <c r="N52" s="6"/>
      <c r="O52" s="6"/>
    </row>
    <row r="53" spans="1:15" ht="18.95" customHeight="1" outlineLevel="1" x14ac:dyDescent="0.3">
      <c r="A53" s="33"/>
      <c r="B53" s="33"/>
      <c r="C53" s="17">
        <v>3</v>
      </c>
      <c r="D53" s="18" t="s">
        <v>83</v>
      </c>
      <c r="E53" s="21">
        <f>세부채점표!E75</f>
        <v>0.5</v>
      </c>
      <c r="F53" s="5"/>
      <c r="G53" s="5"/>
      <c r="H53" s="5"/>
      <c r="I53" s="6"/>
      <c r="J53" s="6"/>
      <c r="K53" s="6"/>
      <c r="L53" s="6"/>
      <c r="M53" s="6"/>
      <c r="N53" s="6"/>
      <c r="O53" s="6"/>
    </row>
    <row r="54" spans="1:15" ht="18.95" customHeight="1" outlineLevel="1" x14ac:dyDescent="0.3">
      <c r="A54" s="33"/>
      <c r="B54" s="33"/>
      <c r="C54" s="17">
        <v>4</v>
      </c>
      <c r="D54" s="18" t="s">
        <v>84</v>
      </c>
      <c r="E54" s="21">
        <f>세부채점표!E76</f>
        <v>0.2</v>
      </c>
      <c r="F54" s="5"/>
      <c r="G54" s="5"/>
      <c r="H54" s="5"/>
      <c r="I54" s="6"/>
      <c r="J54" s="6"/>
      <c r="K54" s="6"/>
      <c r="L54" s="6"/>
      <c r="M54" s="6"/>
      <c r="N54" s="6"/>
      <c r="O54" s="6"/>
    </row>
    <row r="55" spans="1:15" ht="18.95" customHeight="1" outlineLevel="1" x14ac:dyDescent="0.3">
      <c r="A55" s="33"/>
      <c r="B55" s="33"/>
      <c r="C55" s="17">
        <v>5</v>
      </c>
      <c r="D55" s="18" t="s">
        <v>85</v>
      </c>
      <c r="E55" s="21">
        <f>세부채점표!E77</f>
        <v>3</v>
      </c>
      <c r="F55" s="5"/>
      <c r="G55" s="5"/>
      <c r="H55" s="5"/>
      <c r="I55" s="6"/>
      <c r="J55" s="6"/>
      <c r="K55" s="6"/>
      <c r="L55" s="6"/>
      <c r="M55" s="6"/>
      <c r="N55" s="6"/>
      <c r="O55" s="6"/>
    </row>
    <row r="56" spans="1:15" ht="17.25" x14ac:dyDescent="0.3">
      <c r="A56" s="31" t="s">
        <v>4</v>
      </c>
      <c r="B56" s="31"/>
      <c r="C56" s="31"/>
      <c r="D56" s="31"/>
      <c r="E56" s="7">
        <f t="shared" ref="E56:O56" si="9">SUM(E51:E55)</f>
        <v>5.0999999999999996</v>
      </c>
      <c r="F56" s="7">
        <f t="shared" si="9"/>
        <v>0</v>
      </c>
      <c r="G56" s="7">
        <f t="shared" si="9"/>
        <v>0</v>
      </c>
      <c r="H56" s="7">
        <f t="shared" si="9"/>
        <v>0</v>
      </c>
      <c r="I56" s="7">
        <f t="shared" si="9"/>
        <v>0</v>
      </c>
      <c r="J56" s="7">
        <f t="shared" si="9"/>
        <v>0</v>
      </c>
      <c r="K56" s="7">
        <f t="shared" si="9"/>
        <v>0</v>
      </c>
      <c r="L56" s="7">
        <f t="shared" si="9"/>
        <v>0</v>
      </c>
      <c r="M56" s="7">
        <f t="shared" si="9"/>
        <v>0</v>
      </c>
      <c r="N56" s="7">
        <f t="shared" si="9"/>
        <v>0</v>
      </c>
      <c r="O56" s="7">
        <f t="shared" si="9"/>
        <v>0</v>
      </c>
    </row>
    <row r="57" spans="1:15" ht="18.95" customHeight="1" outlineLevel="1" x14ac:dyDescent="0.3">
      <c r="A57" s="33" t="s">
        <v>86</v>
      </c>
      <c r="B57" s="33" t="s">
        <v>87</v>
      </c>
      <c r="C57" s="11">
        <v>1</v>
      </c>
      <c r="D57" s="12" t="s">
        <v>36</v>
      </c>
      <c r="E57" s="19">
        <f>SUM(세부채점표!E79:E80)</f>
        <v>0.7</v>
      </c>
      <c r="F57" s="3"/>
      <c r="G57" s="3"/>
      <c r="H57" s="3"/>
      <c r="I57" s="4"/>
      <c r="J57" s="4"/>
      <c r="K57" s="4"/>
      <c r="L57" s="4"/>
      <c r="M57" s="4"/>
      <c r="N57" s="4"/>
      <c r="O57" s="4"/>
    </row>
    <row r="58" spans="1:15" ht="18.95" customHeight="1" outlineLevel="1" x14ac:dyDescent="0.3">
      <c r="A58" s="33"/>
      <c r="B58" s="33"/>
      <c r="C58" s="16">
        <v>3</v>
      </c>
      <c r="D58" s="13" t="s">
        <v>89</v>
      </c>
      <c r="E58" s="20">
        <f>세부채점표!E81</f>
        <v>0.2</v>
      </c>
      <c r="F58" s="14"/>
      <c r="G58" s="14"/>
      <c r="H58" s="14"/>
      <c r="I58" s="15"/>
      <c r="J58" s="15"/>
      <c r="K58" s="15"/>
      <c r="L58" s="15"/>
      <c r="M58" s="15"/>
      <c r="N58" s="15"/>
      <c r="O58" s="15"/>
    </row>
    <row r="59" spans="1:15" ht="18.95" customHeight="1" outlineLevel="1" x14ac:dyDescent="0.3">
      <c r="A59" s="33"/>
      <c r="B59" s="33"/>
      <c r="C59" s="11">
        <v>4</v>
      </c>
      <c r="D59" s="12" t="s">
        <v>90</v>
      </c>
      <c r="E59" s="19">
        <f>세부채점표!E82</f>
        <v>0.1</v>
      </c>
      <c r="F59" s="3"/>
      <c r="G59" s="3"/>
      <c r="H59" s="3"/>
      <c r="I59" s="4"/>
      <c r="J59" s="4"/>
      <c r="K59" s="4"/>
      <c r="L59" s="4"/>
      <c r="M59" s="4"/>
      <c r="N59" s="4"/>
      <c r="O59" s="4"/>
    </row>
    <row r="60" spans="1:15" ht="17.25" x14ac:dyDescent="0.3">
      <c r="A60" s="31" t="s">
        <v>4</v>
      </c>
      <c r="B60" s="31"/>
      <c r="C60" s="31"/>
      <c r="D60" s="31"/>
      <c r="E60" s="7">
        <f t="shared" ref="E60:O60" si="10">SUM(E57:E59)</f>
        <v>0.99999999999999989</v>
      </c>
      <c r="F60" s="7">
        <f t="shared" si="10"/>
        <v>0</v>
      </c>
      <c r="G60" s="7">
        <f t="shared" si="10"/>
        <v>0</v>
      </c>
      <c r="H60" s="7">
        <f t="shared" si="10"/>
        <v>0</v>
      </c>
      <c r="I60" s="7">
        <f t="shared" si="10"/>
        <v>0</v>
      </c>
      <c r="J60" s="7">
        <f t="shared" si="10"/>
        <v>0</v>
      </c>
      <c r="K60" s="7">
        <f t="shared" si="10"/>
        <v>0</v>
      </c>
      <c r="L60" s="7">
        <f t="shared" si="10"/>
        <v>0</v>
      </c>
      <c r="M60" s="7">
        <f t="shared" si="10"/>
        <v>0</v>
      </c>
      <c r="N60" s="7">
        <f t="shared" si="10"/>
        <v>0</v>
      </c>
      <c r="O60" s="7">
        <f t="shared" si="10"/>
        <v>0</v>
      </c>
    </row>
    <row r="61" spans="1:15" ht="18.95" customHeight="1" outlineLevel="1" x14ac:dyDescent="0.3">
      <c r="A61" s="33" t="s">
        <v>91</v>
      </c>
      <c r="B61" s="33" t="s">
        <v>92</v>
      </c>
      <c r="C61" s="11">
        <v>1</v>
      </c>
      <c r="D61" s="12" t="s">
        <v>12</v>
      </c>
      <c r="E61" s="19">
        <f>세부채점표!E84</f>
        <v>0.1</v>
      </c>
      <c r="F61" s="3"/>
      <c r="G61" s="3"/>
      <c r="H61" s="3"/>
      <c r="I61" s="4"/>
      <c r="J61" s="4"/>
      <c r="K61" s="4"/>
      <c r="L61" s="4"/>
      <c r="M61" s="4"/>
      <c r="N61" s="4"/>
      <c r="O61" s="4"/>
    </row>
    <row r="62" spans="1:15" ht="18.95" customHeight="1" outlineLevel="1" x14ac:dyDescent="0.3">
      <c r="A62" s="33"/>
      <c r="B62" s="33"/>
      <c r="C62" s="17">
        <v>2</v>
      </c>
      <c r="D62" s="18" t="s">
        <v>93</v>
      </c>
      <c r="E62" s="19">
        <f>세부채점표!E85</f>
        <v>0.5</v>
      </c>
      <c r="F62" s="5"/>
      <c r="G62" s="5"/>
      <c r="H62" s="5"/>
      <c r="I62" s="6"/>
      <c r="J62" s="6"/>
      <c r="K62" s="6"/>
      <c r="L62" s="6"/>
      <c r="M62" s="6"/>
      <c r="N62" s="6"/>
      <c r="O62" s="6"/>
    </row>
    <row r="63" spans="1:15" ht="17.25" x14ac:dyDescent="0.3">
      <c r="A63" s="31" t="s">
        <v>4</v>
      </c>
      <c r="B63" s="31"/>
      <c r="C63" s="31"/>
      <c r="D63" s="31"/>
      <c r="E63" s="7">
        <f t="shared" ref="E63:O63" si="11">SUM(E61:E62)</f>
        <v>0.6</v>
      </c>
      <c r="F63" s="7">
        <f t="shared" si="11"/>
        <v>0</v>
      </c>
      <c r="G63" s="7">
        <f t="shared" si="11"/>
        <v>0</v>
      </c>
      <c r="H63" s="7">
        <f t="shared" si="11"/>
        <v>0</v>
      </c>
      <c r="I63" s="7">
        <f t="shared" si="11"/>
        <v>0</v>
      </c>
      <c r="J63" s="7">
        <f t="shared" si="11"/>
        <v>0</v>
      </c>
      <c r="K63" s="7">
        <f t="shared" si="11"/>
        <v>0</v>
      </c>
      <c r="L63" s="7">
        <f t="shared" si="11"/>
        <v>0</v>
      </c>
      <c r="M63" s="7">
        <f t="shared" si="11"/>
        <v>0</v>
      </c>
      <c r="N63" s="7">
        <f t="shared" si="11"/>
        <v>0</v>
      </c>
      <c r="O63" s="7">
        <f t="shared" si="11"/>
        <v>0</v>
      </c>
    </row>
    <row r="64" spans="1:15" ht="18.95" customHeight="1" x14ac:dyDescent="0.3">
      <c r="A64" s="32" t="s">
        <v>6</v>
      </c>
      <c r="B64" s="32"/>
      <c r="C64" s="32"/>
      <c r="D64" s="32"/>
      <c r="E64" s="8">
        <f t="shared" ref="E64:O64" si="12">E5+E18+E21+E31+E35+E40+E44+E50+E56+E60+E63</f>
        <v>34.000000000000007</v>
      </c>
      <c r="F64" s="8">
        <f t="shared" si="12"/>
        <v>0</v>
      </c>
      <c r="G64" s="8">
        <f t="shared" si="12"/>
        <v>0</v>
      </c>
      <c r="H64" s="8">
        <f t="shared" si="12"/>
        <v>0</v>
      </c>
      <c r="I64" s="8">
        <f t="shared" si="12"/>
        <v>0</v>
      </c>
      <c r="J64" s="8">
        <f t="shared" si="12"/>
        <v>0</v>
      </c>
      <c r="K64" s="8">
        <f t="shared" si="12"/>
        <v>0</v>
      </c>
      <c r="L64" s="8">
        <f t="shared" si="12"/>
        <v>0</v>
      </c>
      <c r="M64" s="8">
        <f t="shared" si="12"/>
        <v>0</v>
      </c>
      <c r="N64" s="8">
        <f t="shared" si="12"/>
        <v>0</v>
      </c>
      <c r="O64" s="8">
        <f t="shared" si="12"/>
        <v>0</v>
      </c>
    </row>
  </sheetData>
  <mergeCells count="35">
    <mergeCell ref="A60:D60"/>
    <mergeCell ref="A61:A62"/>
    <mergeCell ref="B61:B62"/>
    <mergeCell ref="A63:D63"/>
    <mergeCell ref="A64:D64"/>
    <mergeCell ref="A50:D50"/>
    <mergeCell ref="A51:A55"/>
    <mergeCell ref="B51:B55"/>
    <mergeCell ref="A56:D56"/>
    <mergeCell ref="A57:A59"/>
    <mergeCell ref="B57:B59"/>
    <mergeCell ref="A40:D40"/>
    <mergeCell ref="A41:A43"/>
    <mergeCell ref="B41:B43"/>
    <mergeCell ref="A44:D44"/>
    <mergeCell ref="A45:A49"/>
    <mergeCell ref="B45:B49"/>
    <mergeCell ref="A31:D31"/>
    <mergeCell ref="A32:A34"/>
    <mergeCell ref="B32:B34"/>
    <mergeCell ref="A35:D35"/>
    <mergeCell ref="A36:A39"/>
    <mergeCell ref="B36:B39"/>
    <mergeCell ref="A18:D18"/>
    <mergeCell ref="A19:A20"/>
    <mergeCell ref="B19:B20"/>
    <mergeCell ref="A21:D21"/>
    <mergeCell ref="A22:A30"/>
    <mergeCell ref="B22:B30"/>
    <mergeCell ref="C1:D1"/>
    <mergeCell ref="A2:A4"/>
    <mergeCell ref="B2:B4"/>
    <mergeCell ref="A5:D5"/>
    <mergeCell ref="A6:A17"/>
    <mergeCell ref="B6:B17"/>
  </mergeCells>
  <phoneticPr fontId="1" type="noConversion"/>
  <conditionalFormatting sqref="F2:O4 F6:O14 F19:O20 F22:O30 F32:O34 F36:O39 F41:O49 F51:O55 F57:O59 F61:O62">
    <cfRule type="expression" dxfId="0" priority="1">
      <formula>$E2&lt;F2</formula>
    </cfRule>
  </conditionalFormatting>
  <pageMargins left="0.31496062992125984" right="0.31496062992125984" top="0.23622047244094491" bottom="0.23622047244094491" header="0" footer="0"/>
  <pageSetup paperSize="8" scale="8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65"/>
  <sheetViews>
    <sheetView zoomScale="115" zoomScaleNormal="11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J17" sqref="J17"/>
    </sheetView>
  </sheetViews>
  <sheetFormatPr defaultColWidth="9" defaultRowHeight="18.95" customHeight="1" x14ac:dyDescent="0.3"/>
  <cols>
    <col min="1" max="1" width="9.125" style="2" bestFit="1" customWidth="1"/>
    <col min="2" max="2" width="14.625" style="2" customWidth="1"/>
    <col min="3" max="3" width="3.625" style="10" hidden="1" customWidth="1"/>
    <col min="4" max="4" width="50.75" customWidth="1"/>
    <col min="5" max="5" width="10.25" style="1" hidden="1" customWidth="1"/>
    <col min="6" max="6" width="11.375" customWidth="1"/>
  </cols>
  <sheetData>
    <row r="1" spans="1:6" ht="42" customHeight="1" x14ac:dyDescent="0.3">
      <c r="A1" s="42" t="s">
        <v>15</v>
      </c>
      <c r="B1" s="42"/>
      <c r="C1" s="42"/>
      <c r="D1" s="42"/>
      <c r="E1" s="42"/>
      <c r="F1" s="42"/>
    </row>
    <row r="2" spans="1:6" ht="18.95" customHeight="1" x14ac:dyDescent="0.3">
      <c r="A2" s="9" t="s">
        <v>3</v>
      </c>
      <c r="B2" s="9" t="s">
        <v>1</v>
      </c>
      <c r="C2" s="37" t="s">
        <v>2</v>
      </c>
      <c r="D2" s="37"/>
      <c r="E2" s="9" t="s">
        <v>0</v>
      </c>
      <c r="F2" s="9" t="s">
        <v>0</v>
      </c>
    </row>
    <row r="3" spans="1:6" ht="18.95" customHeight="1" x14ac:dyDescent="0.3">
      <c r="A3" s="38"/>
      <c r="B3" s="38" t="s">
        <v>5</v>
      </c>
      <c r="C3" s="11">
        <v>1</v>
      </c>
      <c r="D3" s="12" t="s">
        <v>94</v>
      </c>
      <c r="E3" s="19">
        <f>전산용!E2</f>
        <v>1</v>
      </c>
      <c r="F3" s="43">
        <f>E6</f>
        <v>2.2000000000000002</v>
      </c>
    </row>
    <row r="4" spans="1:6" ht="18.95" customHeight="1" x14ac:dyDescent="0.3">
      <c r="A4" s="39"/>
      <c r="B4" s="39"/>
      <c r="C4" s="11">
        <v>2</v>
      </c>
      <c r="D4" s="28" t="s">
        <v>7</v>
      </c>
      <c r="E4" s="19">
        <f>전산용!E3</f>
        <v>0.2</v>
      </c>
      <c r="F4" s="41"/>
    </row>
    <row r="5" spans="1:6" ht="18.95" customHeight="1" x14ac:dyDescent="0.3">
      <c r="A5" s="40"/>
      <c r="B5" s="40"/>
      <c r="C5" s="11">
        <v>3</v>
      </c>
      <c r="D5" s="12" t="s">
        <v>17</v>
      </c>
      <c r="E5" s="19">
        <f>전산용!E4</f>
        <v>1</v>
      </c>
      <c r="F5" s="41"/>
    </row>
    <row r="6" spans="1:6" ht="18.95" hidden="1" customHeight="1" x14ac:dyDescent="0.3">
      <c r="A6" s="41" t="s">
        <v>4</v>
      </c>
      <c r="B6" s="41"/>
      <c r="C6" s="41"/>
      <c r="D6" s="41"/>
      <c r="E6" s="25">
        <f>전산용!E5</f>
        <v>2.2000000000000002</v>
      </c>
      <c r="F6" s="41"/>
    </row>
    <row r="7" spans="1:6" ht="18.95" customHeight="1" x14ac:dyDescent="0.3">
      <c r="A7" s="33" t="s">
        <v>16</v>
      </c>
      <c r="B7" s="33" t="s">
        <v>9</v>
      </c>
      <c r="C7" s="11">
        <v>1</v>
      </c>
      <c r="D7" s="28" t="s">
        <v>19</v>
      </c>
      <c r="E7" s="19">
        <f>전산용!E6</f>
        <v>1</v>
      </c>
      <c r="F7" s="43">
        <f>E19</f>
        <v>5.5000000000000009</v>
      </c>
    </row>
    <row r="8" spans="1:6" ht="18.95" customHeight="1" x14ac:dyDescent="0.3">
      <c r="A8" s="33"/>
      <c r="B8" s="33"/>
      <c r="C8" s="11">
        <v>2</v>
      </c>
      <c r="D8" s="28" t="s">
        <v>20</v>
      </c>
      <c r="E8" s="19">
        <f>전산용!E7</f>
        <v>0.2</v>
      </c>
      <c r="F8" s="41"/>
    </row>
    <row r="9" spans="1:6" ht="18.95" customHeight="1" x14ac:dyDescent="0.3">
      <c r="A9" s="33"/>
      <c r="B9" s="33"/>
      <c r="C9" s="11">
        <v>3</v>
      </c>
      <c r="D9" s="28" t="s">
        <v>21</v>
      </c>
      <c r="E9" s="19">
        <f>전산용!E8</f>
        <v>0.5</v>
      </c>
      <c r="F9" s="41"/>
    </row>
    <row r="10" spans="1:6" ht="18.95" customHeight="1" x14ac:dyDescent="0.3">
      <c r="A10" s="33"/>
      <c r="B10" s="33"/>
      <c r="C10" s="11">
        <v>4</v>
      </c>
      <c r="D10" s="28" t="s">
        <v>22</v>
      </c>
      <c r="E10" s="19">
        <f>전산용!E9</f>
        <v>0.2</v>
      </c>
      <c r="F10" s="41"/>
    </row>
    <row r="11" spans="1:6" ht="18.95" customHeight="1" x14ac:dyDescent="0.3">
      <c r="A11" s="33"/>
      <c r="B11" s="33"/>
      <c r="C11" s="11">
        <v>5</v>
      </c>
      <c r="D11" s="28" t="s">
        <v>23</v>
      </c>
      <c r="E11" s="19">
        <f>전산용!E10</f>
        <v>1.5</v>
      </c>
      <c r="F11" s="41"/>
    </row>
    <row r="12" spans="1:6" ht="18.95" customHeight="1" x14ac:dyDescent="0.3">
      <c r="A12" s="33"/>
      <c r="B12" s="33"/>
      <c r="C12" s="11">
        <v>6</v>
      </c>
      <c r="D12" s="29" t="s">
        <v>24</v>
      </c>
      <c r="E12" s="19">
        <f>전산용!E11</f>
        <v>0.1</v>
      </c>
      <c r="F12" s="41"/>
    </row>
    <row r="13" spans="1:6" ht="18.95" customHeight="1" x14ac:dyDescent="0.3">
      <c r="A13" s="33"/>
      <c r="B13" s="33"/>
      <c r="C13" s="11">
        <v>7</v>
      </c>
      <c r="D13" s="28" t="s">
        <v>25</v>
      </c>
      <c r="E13" s="19">
        <f>전산용!E12</f>
        <v>0.2</v>
      </c>
      <c r="F13" s="41"/>
    </row>
    <row r="14" spans="1:6" ht="18.95" customHeight="1" x14ac:dyDescent="0.3">
      <c r="A14" s="33"/>
      <c r="B14" s="33"/>
      <c r="C14" s="11">
        <v>8</v>
      </c>
      <c r="D14" s="30" t="s">
        <v>27</v>
      </c>
      <c r="E14" s="19">
        <f>전산용!E13</f>
        <v>0.5</v>
      </c>
      <c r="F14" s="41"/>
    </row>
    <row r="15" spans="1:6" ht="18.95" customHeight="1" x14ac:dyDescent="0.3">
      <c r="A15" s="33"/>
      <c r="B15" s="33"/>
      <c r="C15" s="11">
        <v>9</v>
      </c>
      <c r="D15" s="30" t="s">
        <v>26</v>
      </c>
      <c r="E15" s="19">
        <f>전산용!E14</f>
        <v>0.5</v>
      </c>
      <c r="F15" s="41"/>
    </row>
    <row r="16" spans="1:6" ht="18.95" customHeight="1" x14ac:dyDescent="0.3">
      <c r="A16" s="33"/>
      <c r="B16" s="33"/>
      <c r="C16" s="11">
        <v>10</v>
      </c>
      <c r="D16" s="28" t="s">
        <v>28</v>
      </c>
      <c r="E16" s="19">
        <f>전산용!E15</f>
        <v>0.4</v>
      </c>
      <c r="F16" s="41"/>
    </row>
    <row r="17" spans="1:6" ht="18.95" customHeight="1" x14ac:dyDescent="0.3">
      <c r="A17" s="33"/>
      <c r="B17" s="33"/>
      <c r="C17" s="11">
        <v>11</v>
      </c>
      <c r="D17" s="28" t="s">
        <v>29</v>
      </c>
      <c r="E17" s="19">
        <f>전산용!E16</f>
        <v>0.2</v>
      </c>
      <c r="F17" s="41"/>
    </row>
    <row r="18" spans="1:6" ht="18.95" customHeight="1" x14ac:dyDescent="0.3">
      <c r="A18" s="33"/>
      <c r="B18" s="33"/>
      <c r="C18" s="11">
        <v>12</v>
      </c>
      <c r="D18" s="28" t="s">
        <v>30</v>
      </c>
      <c r="E18" s="19">
        <f>전산용!E17</f>
        <v>0.2</v>
      </c>
      <c r="F18" s="41"/>
    </row>
    <row r="19" spans="1:6" ht="18.95" hidden="1" customHeight="1" x14ac:dyDescent="0.3">
      <c r="A19" s="41" t="s">
        <v>4</v>
      </c>
      <c r="B19" s="41"/>
      <c r="C19" s="41"/>
      <c r="D19" s="41"/>
      <c r="E19" s="25">
        <f>전산용!E18</f>
        <v>5.5000000000000009</v>
      </c>
      <c r="F19" s="41"/>
    </row>
    <row r="20" spans="1:6" ht="18.95" customHeight="1" x14ac:dyDescent="0.3">
      <c r="A20" s="33" t="s">
        <v>31</v>
      </c>
      <c r="B20" s="35" t="s">
        <v>10</v>
      </c>
      <c r="C20" s="11">
        <v>1</v>
      </c>
      <c r="D20" s="28" t="s">
        <v>8</v>
      </c>
      <c r="E20" s="19">
        <f>전산용!E19</f>
        <v>0.2</v>
      </c>
      <c r="F20" s="43">
        <f>E22</f>
        <v>1</v>
      </c>
    </row>
    <row r="21" spans="1:6" ht="18.95" customHeight="1" x14ac:dyDescent="0.3">
      <c r="A21" s="33"/>
      <c r="B21" s="35"/>
      <c r="C21" s="11">
        <v>2</v>
      </c>
      <c r="D21" s="28" t="s">
        <v>95</v>
      </c>
      <c r="E21" s="19">
        <f>전산용!E20</f>
        <v>0.79999999999999993</v>
      </c>
      <c r="F21" s="41"/>
    </row>
    <row r="22" spans="1:6" ht="18.95" hidden="1" customHeight="1" x14ac:dyDescent="0.3">
      <c r="A22" s="41" t="s">
        <v>4</v>
      </c>
      <c r="B22" s="41"/>
      <c r="C22" s="41"/>
      <c r="D22" s="41"/>
      <c r="E22" s="25">
        <f>전산용!E21</f>
        <v>1</v>
      </c>
      <c r="F22" s="41"/>
    </row>
    <row r="23" spans="1:6" ht="18.95" customHeight="1" x14ac:dyDescent="0.3">
      <c r="A23" s="33" t="s">
        <v>34</v>
      </c>
      <c r="B23" s="33" t="s">
        <v>35</v>
      </c>
      <c r="C23" s="11">
        <v>1</v>
      </c>
      <c r="D23" s="12" t="s">
        <v>36</v>
      </c>
      <c r="E23" s="19">
        <f>전산용!E22</f>
        <v>1</v>
      </c>
      <c r="F23" s="43">
        <f>E32</f>
        <v>3.6000000000000005</v>
      </c>
    </row>
    <row r="24" spans="1:6" ht="18.95" customHeight="1" x14ac:dyDescent="0.3">
      <c r="A24" s="33"/>
      <c r="B24" s="33"/>
      <c r="C24" s="11">
        <v>2</v>
      </c>
      <c r="D24" s="12" t="s">
        <v>37</v>
      </c>
      <c r="E24" s="19">
        <f>전산용!E23</f>
        <v>0.4</v>
      </c>
      <c r="F24" s="41"/>
    </row>
    <row r="25" spans="1:6" ht="18.95" customHeight="1" x14ac:dyDescent="0.3">
      <c r="A25" s="33"/>
      <c r="B25" s="33"/>
      <c r="C25" s="11">
        <v>3</v>
      </c>
      <c r="D25" s="12" t="s">
        <v>38</v>
      </c>
      <c r="E25" s="19">
        <f>전산용!E24</f>
        <v>0.4</v>
      </c>
      <c r="F25" s="41"/>
    </row>
    <row r="26" spans="1:6" ht="18.95" customHeight="1" x14ac:dyDescent="0.3">
      <c r="A26" s="33"/>
      <c r="B26" s="33"/>
      <c r="C26" s="11">
        <v>4</v>
      </c>
      <c r="D26" s="12" t="s">
        <v>39</v>
      </c>
      <c r="E26" s="19">
        <f>전산용!E25</f>
        <v>0.2</v>
      </c>
      <c r="F26" s="41"/>
    </row>
    <row r="27" spans="1:6" ht="18.95" customHeight="1" x14ac:dyDescent="0.3">
      <c r="A27" s="33"/>
      <c r="B27" s="33"/>
      <c r="C27" s="11">
        <v>5</v>
      </c>
      <c r="D27" s="12" t="s">
        <v>40</v>
      </c>
      <c r="E27" s="19">
        <f>전산용!E26</f>
        <v>0.5</v>
      </c>
      <c r="F27" s="41"/>
    </row>
    <row r="28" spans="1:6" ht="18.95" customHeight="1" x14ac:dyDescent="0.3">
      <c r="A28" s="33"/>
      <c r="B28" s="33"/>
      <c r="C28" s="11">
        <v>6</v>
      </c>
      <c r="D28" s="12" t="s">
        <v>41</v>
      </c>
      <c r="E28" s="19">
        <f>전산용!E27</f>
        <v>0.2</v>
      </c>
      <c r="F28" s="41"/>
    </row>
    <row r="29" spans="1:6" ht="18.95" customHeight="1" x14ac:dyDescent="0.3">
      <c r="A29" s="33"/>
      <c r="B29" s="33"/>
      <c r="C29" s="11">
        <v>7</v>
      </c>
      <c r="D29" s="12" t="s">
        <v>42</v>
      </c>
      <c r="E29" s="19">
        <f>전산용!E28</f>
        <v>0.2</v>
      </c>
      <c r="F29" s="41"/>
    </row>
    <row r="30" spans="1:6" ht="18.95" customHeight="1" x14ac:dyDescent="0.3">
      <c r="A30" s="33"/>
      <c r="B30" s="33"/>
      <c r="C30" s="11">
        <v>8</v>
      </c>
      <c r="D30" s="12" t="s">
        <v>44</v>
      </c>
      <c r="E30" s="19">
        <f>전산용!E29</f>
        <v>0.2</v>
      </c>
      <c r="F30" s="41"/>
    </row>
    <row r="31" spans="1:6" ht="18.95" customHeight="1" x14ac:dyDescent="0.3">
      <c r="A31" s="33"/>
      <c r="B31" s="33"/>
      <c r="C31" s="11">
        <v>9</v>
      </c>
      <c r="D31" s="12" t="s">
        <v>43</v>
      </c>
      <c r="E31" s="19">
        <f>전산용!E30</f>
        <v>0.5</v>
      </c>
      <c r="F31" s="41"/>
    </row>
    <row r="32" spans="1:6" ht="18.95" hidden="1" customHeight="1" x14ac:dyDescent="0.3">
      <c r="A32" s="41" t="s">
        <v>4</v>
      </c>
      <c r="B32" s="41"/>
      <c r="C32" s="41"/>
      <c r="D32" s="41"/>
      <c r="E32" s="25">
        <f>전산용!E31</f>
        <v>3.6000000000000005</v>
      </c>
      <c r="F32" s="41"/>
    </row>
    <row r="33" spans="1:6" ht="18.95" customHeight="1" x14ac:dyDescent="0.3">
      <c r="A33" s="33" t="s">
        <v>45</v>
      </c>
      <c r="B33" s="33" t="s">
        <v>13</v>
      </c>
      <c r="C33" s="11">
        <v>1</v>
      </c>
      <c r="D33" s="12" t="s">
        <v>96</v>
      </c>
      <c r="E33" s="19">
        <f>전산용!E32</f>
        <v>3</v>
      </c>
      <c r="F33" s="43">
        <f>E36</f>
        <v>6.9</v>
      </c>
    </row>
    <row r="34" spans="1:6" ht="18.95" customHeight="1" x14ac:dyDescent="0.3">
      <c r="A34" s="33"/>
      <c r="B34" s="33"/>
      <c r="C34" s="11">
        <v>2</v>
      </c>
      <c r="D34" s="12" t="s">
        <v>97</v>
      </c>
      <c r="E34" s="19">
        <f>전산용!E33</f>
        <v>1.6</v>
      </c>
      <c r="F34" s="41"/>
    </row>
    <row r="35" spans="1:6" ht="18.95" customHeight="1" x14ac:dyDescent="0.3">
      <c r="A35" s="33"/>
      <c r="B35" s="33"/>
      <c r="C35" s="11">
        <v>3</v>
      </c>
      <c r="D35" s="12" t="s">
        <v>98</v>
      </c>
      <c r="E35" s="19">
        <f>전산용!E34</f>
        <v>2.3000000000000003</v>
      </c>
      <c r="F35" s="41"/>
    </row>
    <row r="36" spans="1:6" ht="18.95" hidden="1" customHeight="1" x14ac:dyDescent="0.3">
      <c r="A36" s="41" t="s">
        <v>4</v>
      </c>
      <c r="B36" s="41"/>
      <c r="C36" s="41"/>
      <c r="D36" s="41"/>
      <c r="E36" s="25">
        <f>전산용!E35</f>
        <v>6.9</v>
      </c>
      <c r="F36" s="41"/>
    </row>
    <row r="37" spans="1:6" ht="18.95" customHeight="1" x14ac:dyDescent="0.3">
      <c r="A37" s="33" t="s">
        <v>62</v>
      </c>
      <c r="B37" s="35" t="s">
        <v>63</v>
      </c>
      <c r="C37" s="11">
        <v>1</v>
      </c>
      <c r="D37" s="12" t="s">
        <v>8</v>
      </c>
      <c r="E37" s="26">
        <f>전산용!E36</f>
        <v>0.2</v>
      </c>
      <c r="F37" s="43">
        <f>E41</f>
        <v>2.1</v>
      </c>
    </row>
    <row r="38" spans="1:6" ht="18.95" customHeight="1" x14ac:dyDescent="0.3">
      <c r="A38" s="33"/>
      <c r="B38" s="33"/>
      <c r="C38" s="11">
        <v>2</v>
      </c>
      <c r="D38" s="23" t="s">
        <v>66</v>
      </c>
      <c r="E38" s="26">
        <f>전산용!E37</f>
        <v>0.1</v>
      </c>
      <c r="F38" s="41"/>
    </row>
    <row r="39" spans="1:6" ht="18.95" customHeight="1" x14ac:dyDescent="0.3">
      <c r="A39" s="33"/>
      <c r="B39" s="33"/>
      <c r="C39" s="11">
        <v>3</v>
      </c>
      <c r="D39" s="23" t="s">
        <v>64</v>
      </c>
      <c r="E39" s="26">
        <f>전산용!E38</f>
        <v>0.8</v>
      </c>
      <c r="F39" s="41"/>
    </row>
    <row r="40" spans="1:6" ht="18.95" customHeight="1" x14ac:dyDescent="0.3">
      <c r="A40" s="33"/>
      <c r="B40" s="33"/>
      <c r="C40" s="11">
        <v>4</v>
      </c>
      <c r="D40" s="12" t="s">
        <v>65</v>
      </c>
      <c r="E40" s="26">
        <f>전산용!E39</f>
        <v>1</v>
      </c>
      <c r="F40" s="41"/>
    </row>
    <row r="41" spans="1:6" ht="18.95" hidden="1" customHeight="1" x14ac:dyDescent="0.3">
      <c r="A41" s="41" t="s">
        <v>4</v>
      </c>
      <c r="B41" s="41"/>
      <c r="C41" s="41"/>
      <c r="D41" s="41"/>
      <c r="E41" s="25">
        <f>전산용!E40</f>
        <v>2.1</v>
      </c>
      <c r="F41" s="41"/>
    </row>
    <row r="42" spans="1:6" ht="18.95" customHeight="1" x14ac:dyDescent="0.3">
      <c r="A42" s="33" t="s">
        <v>67</v>
      </c>
      <c r="B42" s="33" t="s">
        <v>68</v>
      </c>
      <c r="C42" s="11">
        <v>1</v>
      </c>
      <c r="D42" s="12" t="s">
        <v>12</v>
      </c>
      <c r="E42" s="19">
        <f>전산용!E41</f>
        <v>0.8</v>
      </c>
      <c r="F42" s="43">
        <f>E45</f>
        <v>2.4000000000000004</v>
      </c>
    </row>
    <row r="43" spans="1:6" ht="18.95" customHeight="1" x14ac:dyDescent="0.3">
      <c r="A43" s="33"/>
      <c r="B43" s="33"/>
      <c r="C43" s="11">
        <v>3</v>
      </c>
      <c r="D43" s="12" t="s">
        <v>69</v>
      </c>
      <c r="E43" s="19">
        <f>전산용!E42</f>
        <v>0.5</v>
      </c>
      <c r="F43" s="41"/>
    </row>
    <row r="44" spans="1:6" ht="18.95" customHeight="1" x14ac:dyDescent="0.3">
      <c r="A44" s="33"/>
      <c r="B44" s="33"/>
      <c r="C44" s="11">
        <v>4</v>
      </c>
      <c r="D44" s="12" t="s">
        <v>99</v>
      </c>
      <c r="E44" s="19">
        <f>전산용!E43</f>
        <v>1.1000000000000001</v>
      </c>
      <c r="F44" s="41"/>
    </row>
    <row r="45" spans="1:6" ht="18.95" hidden="1" customHeight="1" x14ac:dyDescent="0.3">
      <c r="A45" s="41" t="s">
        <v>4</v>
      </c>
      <c r="B45" s="41"/>
      <c r="C45" s="41"/>
      <c r="D45" s="41"/>
      <c r="E45" s="25">
        <f>전산용!E44</f>
        <v>2.4000000000000004</v>
      </c>
      <c r="F45" s="41"/>
    </row>
    <row r="46" spans="1:6" ht="18.95" customHeight="1" x14ac:dyDescent="0.3">
      <c r="A46" s="33" t="s">
        <v>73</v>
      </c>
      <c r="B46" s="33" t="s">
        <v>74</v>
      </c>
      <c r="C46" s="11">
        <v>1</v>
      </c>
      <c r="D46" s="12" t="s">
        <v>8</v>
      </c>
      <c r="E46" s="19">
        <f>전산용!E45</f>
        <v>0.5</v>
      </c>
      <c r="F46" s="43">
        <f>E51</f>
        <v>3.5999999999999996</v>
      </c>
    </row>
    <row r="47" spans="1:6" ht="18.95" customHeight="1" x14ac:dyDescent="0.3">
      <c r="A47" s="33"/>
      <c r="B47" s="33"/>
      <c r="C47" s="11">
        <v>2</v>
      </c>
      <c r="D47" s="12" t="s">
        <v>75</v>
      </c>
      <c r="E47" s="19">
        <f>전산용!E46</f>
        <v>0.2</v>
      </c>
      <c r="F47" s="41"/>
    </row>
    <row r="48" spans="1:6" ht="18.95" customHeight="1" x14ac:dyDescent="0.3">
      <c r="A48" s="33"/>
      <c r="B48" s="33"/>
      <c r="C48" s="11">
        <v>3</v>
      </c>
      <c r="D48" s="12" t="s">
        <v>76</v>
      </c>
      <c r="E48" s="19">
        <f>전산용!E47</f>
        <v>1</v>
      </c>
      <c r="F48" s="41"/>
    </row>
    <row r="49" spans="1:6" ht="18.95" customHeight="1" x14ac:dyDescent="0.3">
      <c r="A49" s="33"/>
      <c r="B49" s="33"/>
      <c r="C49" s="11">
        <v>4</v>
      </c>
      <c r="D49" s="12" t="s">
        <v>77</v>
      </c>
      <c r="E49" s="19">
        <f>전산용!E48</f>
        <v>0.2</v>
      </c>
      <c r="F49" s="41"/>
    </row>
    <row r="50" spans="1:6" ht="18.95" customHeight="1" x14ac:dyDescent="0.3">
      <c r="A50" s="33"/>
      <c r="B50" s="33"/>
      <c r="C50" s="11">
        <v>5</v>
      </c>
      <c r="D50" s="12" t="s">
        <v>100</v>
      </c>
      <c r="E50" s="19">
        <f>전산용!E49</f>
        <v>1.7</v>
      </c>
      <c r="F50" s="41"/>
    </row>
    <row r="51" spans="1:6" ht="18.95" hidden="1" customHeight="1" x14ac:dyDescent="0.3">
      <c r="A51" s="41" t="s">
        <v>4</v>
      </c>
      <c r="B51" s="41"/>
      <c r="C51" s="41"/>
      <c r="D51" s="41"/>
      <c r="E51" s="25">
        <f>전산용!E50</f>
        <v>3.5999999999999996</v>
      </c>
      <c r="F51" s="41"/>
    </row>
    <row r="52" spans="1:6" ht="18.95" customHeight="1" x14ac:dyDescent="0.3">
      <c r="A52" s="33" t="s">
        <v>79</v>
      </c>
      <c r="B52" s="33" t="s">
        <v>80</v>
      </c>
      <c r="C52" s="11">
        <v>1</v>
      </c>
      <c r="D52" s="12" t="s">
        <v>19</v>
      </c>
      <c r="E52" s="19">
        <f>전산용!E51</f>
        <v>1</v>
      </c>
      <c r="F52" s="43">
        <f>E57</f>
        <v>5.0999999999999996</v>
      </c>
    </row>
    <row r="53" spans="1:6" ht="18.95" customHeight="1" x14ac:dyDescent="0.3">
      <c r="A53" s="33"/>
      <c r="B53" s="33"/>
      <c r="C53" s="11">
        <v>2</v>
      </c>
      <c r="D53" s="12" t="s">
        <v>82</v>
      </c>
      <c r="E53" s="19">
        <f>전산용!E52</f>
        <v>0.4</v>
      </c>
      <c r="F53" s="41"/>
    </row>
    <row r="54" spans="1:6" ht="18.95" customHeight="1" x14ac:dyDescent="0.3">
      <c r="A54" s="33"/>
      <c r="B54" s="33"/>
      <c r="C54" s="11">
        <v>3</v>
      </c>
      <c r="D54" s="12" t="s">
        <v>83</v>
      </c>
      <c r="E54" s="19">
        <f>전산용!E53</f>
        <v>0.5</v>
      </c>
      <c r="F54" s="41"/>
    </row>
    <row r="55" spans="1:6" ht="18.95" customHeight="1" x14ac:dyDescent="0.3">
      <c r="A55" s="33"/>
      <c r="B55" s="33"/>
      <c r="C55" s="11">
        <v>4</v>
      </c>
      <c r="D55" s="12" t="s">
        <v>84</v>
      </c>
      <c r="E55" s="19">
        <f>전산용!E54</f>
        <v>0.2</v>
      </c>
      <c r="F55" s="41"/>
    </row>
    <row r="56" spans="1:6" ht="18.95" customHeight="1" x14ac:dyDescent="0.3">
      <c r="A56" s="33"/>
      <c r="B56" s="33"/>
      <c r="C56" s="11">
        <v>5</v>
      </c>
      <c r="D56" s="12" t="s">
        <v>85</v>
      </c>
      <c r="E56" s="19">
        <f>전산용!E55</f>
        <v>3</v>
      </c>
      <c r="F56" s="41"/>
    </row>
    <row r="57" spans="1:6" ht="18.95" hidden="1" customHeight="1" x14ac:dyDescent="0.3">
      <c r="A57" s="41" t="s">
        <v>4</v>
      </c>
      <c r="B57" s="41"/>
      <c r="C57" s="41"/>
      <c r="D57" s="41"/>
      <c r="E57" s="25">
        <f>전산용!E56</f>
        <v>5.0999999999999996</v>
      </c>
      <c r="F57" s="41"/>
    </row>
    <row r="58" spans="1:6" ht="18.95" customHeight="1" x14ac:dyDescent="0.3">
      <c r="A58" s="33" t="s">
        <v>86</v>
      </c>
      <c r="B58" s="33" t="s">
        <v>87</v>
      </c>
      <c r="C58" s="11">
        <v>1</v>
      </c>
      <c r="D58" s="12" t="s">
        <v>36</v>
      </c>
      <c r="E58" s="19">
        <f>전산용!E57</f>
        <v>0.7</v>
      </c>
      <c r="F58" s="43">
        <f>E61</f>
        <v>0.99999999999999989</v>
      </c>
    </row>
    <row r="59" spans="1:6" ht="18.95" customHeight="1" x14ac:dyDescent="0.3">
      <c r="A59" s="33"/>
      <c r="B59" s="33"/>
      <c r="C59" s="11">
        <v>3</v>
      </c>
      <c r="D59" s="12" t="s">
        <v>89</v>
      </c>
      <c r="E59" s="19">
        <f>전산용!E58</f>
        <v>0.2</v>
      </c>
      <c r="F59" s="41"/>
    </row>
    <row r="60" spans="1:6" ht="18.95" customHeight="1" x14ac:dyDescent="0.3">
      <c r="A60" s="33"/>
      <c r="B60" s="33"/>
      <c r="C60" s="11">
        <v>4</v>
      </c>
      <c r="D60" s="12" t="s">
        <v>90</v>
      </c>
      <c r="E60" s="19">
        <f>전산용!E59</f>
        <v>0.1</v>
      </c>
      <c r="F60" s="41"/>
    </row>
    <row r="61" spans="1:6" ht="18.95" hidden="1" customHeight="1" x14ac:dyDescent="0.3">
      <c r="A61" s="41" t="s">
        <v>4</v>
      </c>
      <c r="B61" s="41"/>
      <c r="C61" s="41"/>
      <c r="D61" s="41"/>
      <c r="E61" s="25">
        <f>전산용!E60</f>
        <v>0.99999999999999989</v>
      </c>
      <c r="F61" s="41"/>
    </row>
    <row r="62" spans="1:6" ht="18.95" customHeight="1" x14ac:dyDescent="0.3">
      <c r="A62" s="33" t="s">
        <v>91</v>
      </c>
      <c r="B62" s="33" t="s">
        <v>92</v>
      </c>
      <c r="C62" s="11">
        <v>1</v>
      </c>
      <c r="D62" s="12" t="s">
        <v>12</v>
      </c>
      <c r="E62" s="19">
        <f>전산용!E61</f>
        <v>0.1</v>
      </c>
      <c r="F62" s="43">
        <f>E64</f>
        <v>0.6</v>
      </c>
    </row>
    <row r="63" spans="1:6" ht="18.95" customHeight="1" x14ac:dyDescent="0.3">
      <c r="A63" s="33"/>
      <c r="B63" s="33"/>
      <c r="C63" s="11">
        <v>2</v>
      </c>
      <c r="D63" s="12" t="s">
        <v>93</v>
      </c>
      <c r="E63" s="19">
        <f>전산용!E62</f>
        <v>0.5</v>
      </c>
      <c r="F63" s="41"/>
    </row>
    <row r="64" spans="1:6" ht="18.95" hidden="1" customHeight="1" x14ac:dyDescent="0.3">
      <c r="A64" s="31" t="s">
        <v>4</v>
      </c>
      <c r="B64" s="31"/>
      <c r="C64" s="31"/>
      <c r="D64" s="31"/>
      <c r="E64" s="7">
        <f>전산용!E63</f>
        <v>0.6</v>
      </c>
      <c r="F64" s="41"/>
    </row>
    <row r="65" spans="1:6" ht="18.95" customHeight="1" x14ac:dyDescent="0.3">
      <c r="A65" s="32" t="s">
        <v>6</v>
      </c>
      <c r="B65" s="32"/>
      <c r="C65" s="32"/>
      <c r="D65" s="32"/>
      <c r="E65" s="8">
        <f>전산용!E64</f>
        <v>34.000000000000007</v>
      </c>
      <c r="F65" s="27">
        <f>E65</f>
        <v>34.000000000000007</v>
      </c>
    </row>
  </sheetData>
  <mergeCells count="47">
    <mergeCell ref="F46:F51"/>
    <mergeCell ref="F52:F57"/>
    <mergeCell ref="F58:F61"/>
    <mergeCell ref="F62:F64"/>
    <mergeCell ref="F20:F22"/>
    <mergeCell ref="F23:F32"/>
    <mergeCell ref="F33:F36"/>
    <mergeCell ref="F37:F41"/>
    <mergeCell ref="F42:F45"/>
    <mergeCell ref="A61:D61"/>
    <mergeCell ref="A62:A63"/>
    <mergeCell ref="B62:B63"/>
    <mergeCell ref="A64:D64"/>
    <mergeCell ref="A65:D65"/>
    <mergeCell ref="A51:D51"/>
    <mergeCell ref="A52:A56"/>
    <mergeCell ref="B52:B56"/>
    <mergeCell ref="A58:A60"/>
    <mergeCell ref="B58:B60"/>
    <mergeCell ref="A57:D57"/>
    <mergeCell ref="A42:A44"/>
    <mergeCell ref="B42:B44"/>
    <mergeCell ref="A45:D45"/>
    <mergeCell ref="A46:A50"/>
    <mergeCell ref="B46:B50"/>
    <mergeCell ref="A22:D22"/>
    <mergeCell ref="A23:A31"/>
    <mergeCell ref="B23:B31"/>
    <mergeCell ref="A32:D32"/>
    <mergeCell ref="A1:F1"/>
    <mergeCell ref="F3:F6"/>
    <mergeCell ref="A7:A18"/>
    <mergeCell ref="B7:B18"/>
    <mergeCell ref="A20:A21"/>
    <mergeCell ref="B20:B21"/>
    <mergeCell ref="C2:D2"/>
    <mergeCell ref="A3:A5"/>
    <mergeCell ref="B3:B5"/>
    <mergeCell ref="A6:D6"/>
    <mergeCell ref="A19:D19"/>
    <mergeCell ref="F7:F19"/>
    <mergeCell ref="A41:D41"/>
    <mergeCell ref="A33:A35"/>
    <mergeCell ref="B33:B35"/>
    <mergeCell ref="A36:D36"/>
    <mergeCell ref="A37:A40"/>
    <mergeCell ref="B37:B40"/>
  </mergeCells>
  <phoneticPr fontId="1" type="noConversion"/>
  <pageMargins left="0.76" right="0.31496062992125984" top="0.23622047244094491" bottom="0.23622047244094491" header="0" footer="0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세부채점표</vt:lpstr>
      <vt:lpstr>전산용</vt:lpstr>
      <vt:lpstr>게시용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학생_이건희</cp:lastModifiedBy>
  <cp:lastPrinted>2024-04-03T00:50:22Z</cp:lastPrinted>
  <dcterms:created xsi:type="dcterms:W3CDTF">2018-10-08T04:20:00Z</dcterms:created>
  <dcterms:modified xsi:type="dcterms:W3CDTF">2025-04-03T12:45:41Z</dcterms:modified>
</cp:coreProperties>
</file>