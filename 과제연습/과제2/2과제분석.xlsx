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2025지방대비\25지방풀이\"/>
    </mc:Choice>
  </mc:AlternateContent>
  <bookViews>
    <workbookView xWindow="32810" yWindow="-100" windowWidth="33120" windowHeight="18000" activeTab="1"/>
  </bookViews>
  <sheets>
    <sheet name="Category" sheetId="9" r:id="rId1"/>
    <sheet name="ProductList" sheetId="8" r:id="rId2"/>
    <sheet name="Purchase" sheetId="7" r:id="rId3"/>
    <sheet name="Review" sheetId="1" r:id="rId4"/>
    <sheet name="Sheet1" sheetId="10" r:id="rId5"/>
    <sheet name="SaleList" sheetId="2" r:id="rId6"/>
    <sheet name="ShoppingBasket" sheetId="3" r:id="rId7"/>
    <sheet name="SubCategory" sheetId="4" r:id="rId8"/>
    <sheet name="User" sheetId="5" r:id="rId9"/>
  </sheets>
  <definedNames>
    <definedName name="_xlnm._FilterDatabase" localSheetId="1" hidden="1">ProductList!$A$1:$P$201</definedName>
    <definedName name="_xlnm._FilterDatabase" localSheetId="2" hidden="1">Purchase!$A$1:$M$101</definedName>
    <definedName name="_xlnm._FilterDatabase" localSheetId="3" hidden="1">Review!$A$1:$I$301</definedName>
    <definedName name="_xlnm._FilterDatabase" localSheetId="6" hidden="1">ShoppingBasket!$A$1:$I$51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" i="8" l="1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65" i="8"/>
  <c r="S66" i="8"/>
  <c r="S67" i="8"/>
  <c r="S68" i="8"/>
  <c r="S69" i="8"/>
  <c r="S70" i="8"/>
  <c r="S71" i="8"/>
  <c r="S72" i="8"/>
  <c r="S73" i="8"/>
  <c r="S74" i="8"/>
  <c r="S75" i="8"/>
  <c r="S76" i="8"/>
  <c r="S77" i="8"/>
  <c r="S78" i="8"/>
  <c r="S79" i="8"/>
  <c r="S80" i="8"/>
  <c r="S81" i="8"/>
  <c r="S82" i="8"/>
  <c r="S83" i="8"/>
  <c r="S84" i="8"/>
  <c r="S85" i="8"/>
  <c r="S86" i="8"/>
  <c r="S87" i="8"/>
  <c r="S88" i="8"/>
  <c r="S89" i="8"/>
  <c r="S90" i="8"/>
  <c r="S91" i="8"/>
  <c r="S92" i="8"/>
  <c r="S93" i="8"/>
  <c r="S94" i="8"/>
  <c r="S95" i="8"/>
  <c r="S96" i="8"/>
  <c r="S97" i="8"/>
  <c r="S98" i="8"/>
  <c r="S99" i="8"/>
  <c r="S100" i="8"/>
  <c r="S101" i="8"/>
  <c r="S102" i="8"/>
  <c r="S103" i="8"/>
  <c r="S104" i="8"/>
  <c r="S105" i="8"/>
  <c r="S106" i="8"/>
  <c r="S107" i="8"/>
  <c r="S108" i="8"/>
  <c r="S109" i="8"/>
  <c r="S110" i="8"/>
  <c r="S111" i="8"/>
  <c r="S112" i="8"/>
  <c r="S113" i="8"/>
  <c r="S114" i="8"/>
  <c r="S115" i="8"/>
  <c r="S116" i="8"/>
  <c r="S117" i="8"/>
  <c r="S118" i="8"/>
  <c r="S119" i="8"/>
  <c r="S120" i="8"/>
  <c r="S121" i="8"/>
  <c r="S122" i="8"/>
  <c r="S123" i="8"/>
  <c r="S124" i="8"/>
  <c r="S125" i="8"/>
  <c r="S126" i="8"/>
  <c r="S127" i="8"/>
  <c r="S128" i="8"/>
  <c r="S129" i="8"/>
  <c r="S130" i="8"/>
  <c r="S131" i="8"/>
  <c r="S132" i="8"/>
  <c r="S133" i="8"/>
  <c r="S134" i="8"/>
  <c r="S135" i="8"/>
  <c r="S136" i="8"/>
  <c r="S137" i="8"/>
  <c r="S138" i="8"/>
  <c r="S139" i="8"/>
  <c r="S140" i="8"/>
  <c r="S141" i="8"/>
  <c r="S142" i="8"/>
  <c r="S143" i="8"/>
  <c r="S144" i="8"/>
  <c r="S145" i="8"/>
  <c r="S146" i="8"/>
  <c r="S147" i="8"/>
  <c r="S148" i="8"/>
  <c r="S149" i="8"/>
  <c r="S150" i="8"/>
  <c r="S151" i="8"/>
  <c r="S152" i="8"/>
  <c r="S153" i="8"/>
  <c r="S154" i="8"/>
  <c r="S155" i="8"/>
  <c r="S156" i="8"/>
  <c r="S157" i="8"/>
  <c r="S158" i="8"/>
  <c r="S159" i="8"/>
  <c r="S160" i="8"/>
  <c r="S161" i="8"/>
  <c r="S162" i="8"/>
  <c r="S163" i="8"/>
  <c r="S164" i="8"/>
  <c r="S165" i="8"/>
  <c r="S166" i="8"/>
  <c r="S167" i="8"/>
  <c r="S168" i="8"/>
  <c r="S169" i="8"/>
  <c r="S170" i="8"/>
  <c r="S171" i="8"/>
  <c r="S172" i="8"/>
  <c r="S173" i="8"/>
  <c r="S174" i="8"/>
  <c r="S175" i="8"/>
  <c r="S176" i="8"/>
  <c r="S177" i="8"/>
  <c r="S178" i="8"/>
  <c r="S179" i="8"/>
  <c r="S180" i="8"/>
  <c r="S181" i="8"/>
  <c r="S182" i="8"/>
  <c r="S183" i="8"/>
  <c r="S184" i="8"/>
  <c r="S185" i="8"/>
  <c r="S186" i="8"/>
  <c r="S187" i="8"/>
  <c r="S188" i="8"/>
  <c r="S189" i="8"/>
  <c r="S190" i="8"/>
  <c r="S191" i="8"/>
  <c r="S192" i="8"/>
  <c r="S193" i="8"/>
  <c r="S194" i="8"/>
  <c r="S195" i="8"/>
  <c r="S196" i="8"/>
  <c r="S197" i="8"/>
  <c r="S198" i="8"/>
  <c r="S199" i="8"/>
  <c r="S200" i="8"/>
  <c r="S201" i="8"/>
  <c r="S3" i="8"/>
  <c r="R3" i="8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93" i="8"/>
  <c r="R94" i="8"/>
  <c r="R95" i="8"/>
  <c r="R96" i="8"/>
  <c r="R97" i="8"/>
  <c r="R98" i="8"/>
  <c r="R99" i="8"/>
  <c r="R100" i="8"/>
  <c r="R101" i="8"/>
  <c r="R102" i="8"/>
  <c r="R103" i="8"/>
  <c r="R104" i="8"/>
  <c r="R105" i="8"/>
  <c r="R106" i="8"/>
  <c r="R107" i="8"/>
  <c r="R108" i="8"/>
  <c r="R109" i="8"/>
  <c r="R110" i="8"/>
  <c r="R111" i="8"/>
  <c r="R112" i="8"/>
  <c r="R113" i="8"/>
  <c r="R114" i="8"/>
  <c r="R115" i="8"/>
  <c r="R116" i="8"/>
  <c r="R117" i="8"/>
  <c r="R118" i="8"/>
  <c r="R119" i="8"/>
  <c r="R120" i="8"/>
  <c r="R121" i="8"/>
  <c r="R122" i="8"/>
  <c r="R123" i="8"/>
  <c r="R124" i="8"/>
  <c r="R125" i="8"/>
  <c r="R126" i="8"/>
  <c r="R127" i="8"/>
  <c r="R128" i="8"/>
  <c r="R129" i="8"/>
  <c r="R130" i="8"/>
  <c r="R131" i="8"/>
  <c r="R132" i="8"/>
  <c r="R133" i="8"/>
  <c r="R134" i="8"/>
  <c r="R135" i="8"/>
  <c r="R136" i="8"/>
  <c r="R137" i="8"/>
  <c r="R138" i="8"/>
  <c r="R139" i="8"/>
  <c r="R140" i="8"/>
  <c r="R141" i="8"/>
  <c r="R142" i="8"/>
  <c r="R143" i="8"/>
  <c r="R144" i="8"/>
  <c r="R145" i="8"/>
  <c r="R146" i="8"/>
  <c r="R147" i="8"/>
  <c r="R148" i="8"/>
  <c r="R149" i="8"/>
  <c r="R150" i="8"/>
  <c r="R151" i="8"/>
  <c r="R152" i="8"/>
  <c r="R153" i="8"/>
  <c r="R154" i="8"/>
  <c r="R155" i="8"/>
  <c r="R156" i="8"/>
  <c r="R157" i="8"/>
  <c r="R158" i="8"/>
  <c r="R159" i="8"/>
  <c r="R160" i="8"/>
  <c r="R161" i="8"/>
  <c r="R162" i="8"/>
  <c r="R163" i="8"/>
  <c r="R164" i="8"/>
  <c r="R165" i="8"/>
  <c r="R166" i="8"/>
  <c r="R167" i="8"/>
  <c r="R168" i="8"/>
  <c r="R169" i="8"/>
  <c r="R170" i="8"/>
  <c r="R171" i="8"/>
  <c r="R172" i="8"/>
  <c r="R173" i="8"/>
  <c r="R174" i="8"/>
  <c r="R175" i="8"/>
  <c r="R176" i="8"/>
  <c r="R177" i="8"/>
  <c r="R178" i="8"/>
  <c r="R179" i="8"/>
  <c r="R180" i="8"/>
  <c r="R181" i="8"/>
  <c r="R182" i="8"/>
  <c r="R183" i="8"/>
  <c r="R184" i="8"/>
  <c r="R185" i="8"/>
  <c r="R186" i="8"/>
  <c r="R187" i="8"/>
  <c r="R188" i="8"/>
  <c r="R189" i="8"/>
  <c r="R190" i="8"/>
  <c r="R191" i="8"/>
  <c r="R192" i="8"/>
  <c r="R193" i="8"/>
  <c r="R194" i="8"/>
  <c r="R195" i="8"/>
  <c r="R196" i="8"/>
  <c r="R197" i="8"/>
  <c r="R198" i="8"/>
  <c r="R199" i="8"/>
  <c r="R200" i="8"/>
  <c r="R201" i="8"/>
  <c r="R2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110" i="8"/>
  <c r="Q111" i="8"/>
  <c r="Q112" i="8"/>
  <c r="Q113" i="8"/>
  <c r="Q114" i="8"/>
  <c r="Q115" i="8"/>
  <c r="Q116" i="8"/>
  <c r="Q117" i="8"/>
  <c r="Q118" i="8"/>
  <c r="Q119" i="8"/>
  <c r="Q120" i="8"/>
  <c r="Q121" i="8"/>
  <c r="Q122" i="8"/>
  <c r="Q123" i="8"/>
  <c r="Q124" i="8"/>
  <c r="Q125" i="8"/>
  <c r="Q126" i="8"/>
  <c r="Q127" i="8"/>
  <c r="Q128" i="8"/>
  <c r="Q129" i="8"/>
  <c r="Q130" i="8"/>
  <c r="Q131" i="8"/>
  <c r="Q132" i="8"/>
  <c r="Q133" i="8"/>
  <c r="Q134" i="8"/>
  <c r="Q135" i="8"/>
  <c r="Q136" i="8"/>
  <c r="Q137" i="8"/>
  <c r="Q138" i="8"/>
  <c r="Q139" i="8"/>
  <c r="Q140" i="8"/>
  <c r="Q141" i="8"/>
  <c r="Q142" i="8"/>
  <c r="Q143" i="8"/>
  <c r="Q144" i="8"/>
  <c r="Q145" i="8"/>
  <c r="Q146" i="8"/>
  <c r="Q147" i="8"/>
  <c r="Q148" i="8"/>
  <c r="Q149" i="8"/>
  <c r="Q150" i="8"/>
  <c r="Q151" i="8"/>
  <c r="Q152" i="8"/>
  <c r="Q153" i="8"/>
  <c r="Q154" i="8"/>
  <c r="Q155" i="8"/>
  <c r="Q156" i="8"/>
  <c r="Q157" i="8"/>
  <c r="Q158" i="8"/>
  <c r="Q159" i="8"/>
  <c r="Q160" i="8"/>
  <c r="Q161" i="8"/>
  <c r="Q162" i="8"/>
  <c r="Q163" i="8"/>
  <c r="Q164" i="8"/>
  <c r="Q165" i="8"/>
  <c r="Q166" i="8"/>
  <c r="Q167" i="8"/>
  <c r="Q168" i="8"/>
  <c r="Q169" i="8"/>
  <c r="Q170" i="8"/>
  <c r="Q171" i="8"/>
  <c r="Q172" i="8"/>
  <c r="Q173" i="8"/>
  <c r="Q174" i="8"/>
  <c r="Q175" i="8"/>
  <c r="Q176" i="8"/>
  <c r="Q177" i="8"/>
  <c r="Q178" i="8"/>
  <c r="Q179" i="8"/>
  <c r="Q180" i="8"/>
  <c r="Q181" i="8"/>
  <c r="Q182" i="8"/>
  <c r="Q183" i="8"/>
  <c r="Q184" i="8"/>
  <c r="Q185" i="8"/>
  <c r="Q186" i="8"/>
  <c r="Q187" i="8"/>
  <c r="Q188" i="8"/>
  <c r="Q189" i="8"/>
  <c r="Q190" i="8"/>
  <c r="Q191" i="8"/>
  <c r="Q192" i="8"/>
  <c r="Q193" i="8"/>
  <c r="Q194" i="8"/>
  <c r="Q195" i="8"/>
  <c r="Q196" i="8"/>
  <c r="Q197" i="8"/>
  <c r="Q198" i="8"/>
  <c r="Q199" i="8"/>
  <c r="Q200" i="8"/>
  <c r="Q201" i="8"/>
  <c r="Q2" i="8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2" i="1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2" i="7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2" i="1"/>
  <c r="L1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2" i="1"/>
  <c r="H2" i="1" s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2" i="3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2" i="7"/>
  <c r="G11" i="8"/>
  <c r="F28" i="7" s="1"/>
  <c r="G28" i="7" s="1"/>
  <c r="G27" i="8"/>
  <c r="D37" i="3" s="1"/>
  <c r="G139" i="8"/>
  <c r="D41" i="3" s="1"/>
  <c r="G155" i="8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2" i="7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" i="8"/>
  <c r="E3" i="8"/>
  <c r="F3" i="8" s="1"/>
  <c r="G3" i="8" s="1"/>
  <c r="F98" i="7" s="1"/>
  <c r="G98" i="7" s="1"/>
  <c r="E4" i="8"/>
  <c r="F4" i="8" s="1"/>
  <c r="G4" i="8" s="1"/>
  <c r="E5" i="8"/>
  <c r="F5" i="8" s="1"/>
  <c r="G5" i="8" s="1"/>
  <c r="F80" i="7" s="1"/>
  <c r="G80" i="7" s="1"/>
  <c r="E6" i="8"/>
  <c r="F6" i="8" s="1"/>
  <c r="G6" i="8" s="1"/>
  <c r="E7" i="8"/>
  <c r="F7" i="8" s="1"/>
  <c r="G7" i="8" s="1"/>
  <c r="D35" i="3" s="1"/>
  <c r="E8" i="8"/>
  <c r="F8" i="8" s="1"/>
  <c r="G8" i="8" s="1"/>
  <c r="F13" i="7" s="1"/>
  <c r="G13" i="7" s="1"/>
  <c r="E9" i="8"/>
  <c r="F9" i="8" s="1"/>
  <c r="G9" i="8" s="1"/>
  <c r="E10" i="8"/>
  <c r="F10" i="8" s="1"/>
  <c r="G10" i="8" s="1"/>
  <c r="E11" i="8"/>
  <c r="F11" i="8" s="1"/>
  <c r="E12" i="8"/>
  <c r="F12" i="8" s="1"/>
  <c r="G12" i="8" s="1"/>
  <c r="E13" i="8"/>
  <c r="F13" i="8" s="1"/>
  <c r="G13" i="8" s="1"/>
  <c r="E14" i="8"/>
  <c r="F14" i="8" s="1"/>
  <c r="G14" i="8" s="1"/>
  <c r="E15" i="8"/>
  <c r="F15" i="8" s="1"/>
  <c r="G15" i="8" s="1"/>
  <c r="E16" i="8"/>
  <c r="F16" i="8" s="1"/>
  <c r="G16" i="8" s="1"/>
  <c r="E17" i="8"/>
  <c r="F17" i="8" s="1"/>
  <c r="G17" i="8" s="1"/>
  <c r="E18" i="8"/>
  <c r="F18" i="8" s="1"/>
  <c r="G18" i="8" s="1"/>
  <c r="E19" i="8"/>
  <c r="F19" i="8" s="1"/>
  <c r="G19" i="8" s="1"/>
  <c r="E20" i="8"/>
  <c r="F20" i="8" s="1"/>
  <c r="G20" i="8" s="1"/>
  <c r="F42" i="7" s="1"/>
  <c r="G42" i="7" s="1"/>
  <c r="E21" i="8"/>
  <c r="F21" i="8" s="1"/>
  <c r="G21" i="8" s="1"/>
  <c r="E22" i="8"/>
  <c r="F22" i="8" s="1"/>
  <c r="G22" i="8" s="1"/>
  <c r="F46" i="7" s="1"/>
  <c r="G46" i="7" s="1"/>
  <c r="E23" i="8"/>
  <c r="F23" i="8" s="1"/>
  <c r="G23" i="8" s="1"/>
  <c r="E24" i="8"/>
  <c r="F24" i="8" s="1"/>
  <c r="G24" i="8" s="1"/>
  <c r="E25" i="8"/>
  <c r="F25" i="8" s="1"/>
  <c r="G25" i="8" s="1"/>
  <c r="E26" i="8"/>
  <c r="F26" i="8" s="1"/>
  <c r="G26" i="8" s="1"/>
  <c r="F90" i="7" s="1"/>
  <c r="G90" i="7" s="1"/>
  <c r="E27" i="8"/>
  <c r="F27" i="8" s="1"/>
  <c r="E28" i="8"/>
  <c r="F28" i="8" s="1"/>
  <c r="G28" i="8" s="1"/>
  <c r="E29" i="8"/>
  <c r="F29" i="8" s="1"/>
  <c r="G29" i="8" s="1"/>
  <c r="F78" i="7" s="1"/>
  <c r="G78" i="7" s="1"/>
  <c r="E30" i="8"/>
  <c r="F30" i="8" s="1"/>
  <c r="G30" i="8" s="1"/>
  <c r="F82" i="7" s="1"/>
  <c r="G82" i="7" s="1"/>
  <c r="E31" i="8"/>
  <c r="F31" i="8" s="1"/>
  <c r="G31" i="8" s="1"/>
  <c r="E32" i="8"/>
  <c r="F32" i="8" s="1"/>
  <c r="G32" i="8" s="1"/>
  <c r="E33" i="8"/>
  <c r="F33" i="8" s="1"/>
  <c r="G33" i="8" s="1"/>
  <c r="F69" i="7" s="1"/>
  <c r="G69" i="7" s="1"/>
  <c r="E34" i="8"/>
  <c r="F34" i="8" s="1"/>
  <c r="G34" i="8" s="1"/>
  <c r="E35" i="8"/>
  <c r="F35" i="8" s="1"/>
  <c r="G35" i="8" s="1"/>
  <c r="F62" i="7" s="1"/>
  <c r="G62" i="7" s="1"/>
  <c r="E36" i="8"/>
  <c r="F36" i="8" s="1"/>
  <c r="G36" i="8" s="1"/>
  <c r="E37" i="8"/>
  <c r="F37" i="8" s="1"/>
  <c r="G37" i="8" s="1"/>
  <c r="E38" i="8"/>
  <c r="F38" i="8" s="1"/>
  <c r="G38" i="8" s="1"/>
  <c r="F25" i="7" s="1"/>
  <c r="G25" i="7" s="1"/>
  <c r="E39" i="8"/>
  <c r="F39" i="8" s="1"/>
  <c r="G39" i="8" s="1"/>
  <c r="E40" i="8"/>
  <c r="F40" i="8" s="1"/>
  <c r="G40" i="8" s="1"/>
  <c r="E41" i="8"/>
  <c r="F41" i="8" s="1"/>
  <c r="G41" i="8" s="1"/>
  <c r="F32" i="7" s="1"/>
  <c r="G32" i="7" s="1"/>
  <c r="E42" i="8"/>
  <c r="F42" i="8" s="1"/>
  <c r="G42" i="8" s="1"/>
  <c r="F75" i="7" s="1"/>
  <c r="G75" i="7" s="1"/>
  <c r="E43" i="8"/>
  <c r="F43" i="8" s="1"/>
  <c r="G43" i="8" s="1"/>
  <c r="F3" i="7" s="1"/>
  <c r="G3" i="7" s="1"/>
  <c r="E44" i="8"/>
  <c r="F44" i="8" s="1"/>
  <c r="G44" i="8" s="1"/>
  <c r="F48" i="7" s="1"/>
  <c r="G48" i="7" s="1"/>
  <c r="E45" i="8"/>
  <c r="F45" i="8" s="1"/>
  <c r="G45" i="8" s="1"/>
  <c r="F24" i="7" s="1"/>
  <c r="G24" i="7" s="1"/>
  <c r="E46" i="8"/>
  <c r="F46" i="8" s="1"/>
  <c r="G46" i="8" s="1"/>
  <c r="F29" i="7" s="1"/>
  <c r="G29" i="7" s="1"/>
  <c r="E47" i="8"/>
  <c r="F47" i="8" s="1"/>
  <c r="G47" i="8" s="1"/>
  <c r="E48" i="8"/>
  <c r="F48" i="8" s="1"/>
  <c r="G48" i="8" s="1"/>
  <c r="F34" i="7" s="1"/>
  <c r="G34" i="7" s="1"/>
  <c r="E49" i="8"/>
  <c r="F49" i="8" s="1"/>
  <c r="G49" i="8" s="1"/>
  <c r="E50" i="8"/>
  <c r="F50" i="8" s="1"/>
  <c r="G50" i="8" s="1"/>
  <c r="E51" i="8"/>
  <c r="F51" i="8" s="1"/>
  <c r="G51" i="8" s="1"/>
  <c r="E52" i="8"/>
  <c r="F52" i="8" s="1"/>
  <c r="G52" i="8" s="1"/>
  <c r="E53" i="8"/>
  <c r="F53" i="8" s="1"/>
  <c r="G53" i="8" s="1"/>
  <c r="E54" i="8"/>
  <c r="F54" i="8" s="1"/>
  <c r="G54" i="8" s="1"/>
  <c r="F66" i="7" s="1"/>
  <c r="G66" i="7" s="1"/>
  <c r="E55" i="8"/>
  <c r="F55" i="8" s="1"/>
  <c r="G55" i="8" s="1"/>
  <c r="D29" i="3" s="1"/>
  <c r="E56" i="8"/>
  <c r="F56" i="8" s="1"/>
  <c r="G56" i="8" s="1"/>
  <c r="E57" i="8"/>
  <c r="F57" i="8" s="1"/>
  <c r="G57" i="8" s="1"/>
  <c r="E58" i="8"/>
  <c r="F58" i="8" s="1"/>
  <c r="G58" i="8" s="1"/>
  <c r="E59" i="8"/>
  <c r="F59" i="8" s="1"/>
  <c r="G59" i="8" s="1"/>
  <c r="F41" i="7" s="1"/>
  <c r="G41" i="7" s="1"/>
  <c r="E60" i="8"/>
  <c r="F60" i="8" s="1"/>
  <c r="G60" i="8" s="1"/>
  <c r="F99" i="7" s="1"/>
  <c r="G99" i="7" s="1"/>
  <c r="E61" i="8"/>
  <c r="F61" i="8" s="1"/>
  <c r="G61" i="8" s="1"/>
  <c r="E62" i="8"/>
  <c r="F62" i="8" s="1"/>
  <c r="G62" i="8" s="1"/>
  <c r="E63" i="8"/>
  <c r="F63" i="8" s="1"/>
  <c r="G63" i="8" s="1"/>
  <c r="E64" i="8"/>
  <c r="F64" i="8" s="1"/>
  <c r="G64" i="8" s="1"/>
  <c r="D47" i="3" s="1"/>
  <c r="E65" i="8"/>
  <c r="F65" i="8" s="1"/>
  <c r="G65" i="8" s="1"/>
  <c r="F52" i="7" s="1"/>
  <c r="G52" i="7" s="1"/>
  <c r="E66" i="8"/>
  <c r="F66" i="8" s="1"/>
  <c r="G66" i="8" s="1"/>
  <c r="E67" i="8"/>
  <c r="F67" i="8" s="1"/>
  <c r="G67" i="8" s="1"/>
  <c r="D50" i="3" s="1"/>
  <c r="E68" i="8"/>
  <c r="F68" i="8" s="1"/>
  <c r="G68" i="8" s="1"/>
  <c r="E69" i="8"/>
  <c r="F69" i="8" s="1"/>
  <c r="G69" i="8" s="1"/>
  <c r="F76" i="7" s="1"/>
  <c r="G76" i="7" s="1"/>
  <c r="E70" i="8"/>
  <c r="F70" i="8" s="1"/>
  <c r="G70" i="8" s="1"/>
  <c r="E71" i="8"/>
  <c r="F71" i="8" s="1"/>
  <c r="G71" i="8" s="1"/>
  <c r="E72" i="8"/>
  <c r="F72" i="8" s="1"/>
  <c r="G72" i="8" s="1"/>
  <c r="E73" i="8"/>
  <c r="F73" i="8" s="1"/>
  <c r="G73" i="8" s="1"/>
  <c r="E74" i="8"/>
  <c r="F74" i="8" s="1"/>
  <c r="G74" i="8" s="1"/>
  <c r="E75" i="8"/>
  <c r="F75" i="8" s="1"/>
  <c r="G75" i="8" s="1"/>
  <c r="E76" i="8"/>
  <c r="F76" i="8" s="1"/>
  <c r="G76" i="8" s="1"/>
  <c r="E77" i="8"/>
  <c r="F77" i="8" s="1"/>
  <c r="G77" i="8" s="1"/>
  <c r="E78" i="8"/>
  <c r="F78" i="8" s="1"/>
  <c r="G78" i="8" s="1"/>
  <c r="D39" i="3" s="1"/>
  <c r="E79" i="8"/>
  <c r="F79" i="8" s="1"/>
  <c r="G79" i="8" s="1"/>
  <c r="E80" i="8"/>
  <c r="F80" i="8" s="1"/>
  <c r="G80" i="8" s="1"/>
  <c r="D40" i="3" s="1"/>
  <c r="E81" i="8"/>
  <c r="F81" i="8" s="1"/>
  <c r="G81" i="8" s="1"/>
  <c r="E82" i="8"/>
  <c r="F82" i="8" s="1"/>
  <c r="G82" i="8" s="1"/>
  <c r="D15" i="3" s="1"/>
  <c r="E83" i="8"/>
  <c r="F83" i="8" s="1"/>
  <c r="G83" i="8" s="1"/>
  <c r="E84" i="8"/>
  <c r="F84" i="8" s="1"/>
  <c r="G84" i="8" s="1"/>
  <c r="D34" i="3" s="1"/>
  <c r="E85" i="8"/>
  <c r="F85" i="8" s="1"/>
  <c r="G85" i="8" s="1"/>
  <c r="E86" i="8"/>
  <c r="F86" i="8" s="1"/>
  <c r="G86" i="8" s="1"/>
  <c r="E87" i="8"/>
  <c r="F87" i="8" s="1"/>
  <c r="G87" i="8" s="1"/>
  <c r="E88" i="8"/>
  <c r="F88" i="8" s="1"/>
  <c r="G88" i="8" s="1"/>
  <c r="E89" i="8"/>
  <c r="F89" i="8" s="1"/>
  <c r="G89" i="8" s="1"/>
  <c r="D45" i="3" s="1"/>
  <c r="E90" i="8"/>
  <c r="F90" i="8" s="1"/>
  <c r="G90" i="8" s="1"/>
  <c r="E91" i="8"/>
  <c r="F91" i="8" s="1"/>
  <c r="G91" i="8" s="1"/>
  <c r="E92" i="8"/>
  <c r="F92" i="8" s="1"/>
  <c r="G92" i="8" s="1"/>
  <c r="E93" i="8"/>
  <c r="F93" i="8" s="1"/>
  <c r="G93" i="8" s="1"/>
  <c r="E94" i="8"/>
  <c r="F94" i="8" s="1"/>
  <c r="G94" i="8" s="1"/>
  <c r="D4" i="3" s="1"/>
  <c r="E95" i="8"/>
  <c r="F95" i="8" s="1"/>
  <c r="G95" i="8" s="1"/>
  <c r="D25" i="3" s="1"/>
  <c r="E96" i="8"/>
  <c r="F96" i="8" s="1"/>
  <c r="G96" i="8" s="1"/>
  <c r="E97" i="8"/>
  <c r="F97" i="8" s="1"/>
  <c r="G97" i="8" s="1"/>
  <c r="D19" i="3" s="1"/>
  <c r="E98" i="8"/>
  <c r="F98" i="8" s="1"/>
  <c r="G98" i="8" s="1"/>
  <c r="E99" i="8"/>
  <c r="F99" i="8" s="1"/>
  <c r="G99" i="8" s="1"/>
  <c r="E100" i="8"/>
  <c r="F100" i="8" s="1"/>
  <c r="G100" i="8" s="1"/>
  <c r="E101" i="8"/>
  <c r="F101" i="8" s="1"/>
  <c r="G101" i="8" s="1"/>
  <c r="E102" i="8"/>
  <c r="F102" i="8" s="1"/>
  <c r="G102" i="8" s="1"/>
  <c r="E103" i="8"/>
  <c r="F103" i="8" s="1"/>
  <c r="G103" i="8" s="1"/>
  <c r="E104" i="8"/>
  <c r="F104" i="8" s="1"/>
  <c r="G104" i="8" s="1"/>
  <c r="E105" i="8"/>
  <c r="F105" i="8" s="1"/>
  <c r="G105" i="8" s="1"/>
  <c r="E106" i="8"/>
  <c r="F106" i="8" s="1"/>
  <c r="G106" i="8" s="1"/>
  <c r="E107" i="8"/>
  <c r="F107" i="8" s="1"/>
  <c r="G107" i="8" s="1"/>
  <c r="D28" i="3" s="1"/>
  <c r="E108" i="8"/>
  <c r="F108" i="8" s="1"/>
  <c r="G108" i="8" s="1"/>
  <c r="E109" i="8"/>
  <c r="F109" i="8" s="1"/>
  <c r="G109" i="8" s="1"/>
  <c r="E110" i="8"/>
  <c r="F110" i="8" s="1"/>
  <c r="G110" i="8" s="1"/>
  <c r="E111" i="8"/>
  <c r="F111" i="8" s="1"/>
  <c r="G111" i="8" s="1"/>
  <c r="E112" i="8"/>
  <c r="F112" i="8" s="1"/>
  <c r="G112" i="8" s="1"/>
  <c r="E113" i="8"/>
  <c r="F113" i="8" s="1"/>
  <c r="G113" i="8" s="1"/>
  <c r="E114" i="8"/>
  <c r="F114" i="8" s="1"/>
  <c r="G114" i="8" s="1"/>
  <c r="E115" i="8"/>
  <c r="F115" i="8" s="1"/>
  <c r="G115" i="8" s="1"/>
  <c r="E116" i="8"/>
  <c r="F116" i="8" s="1"/>
  <c r="G116" i="8" s="1"/>
  <c r="E117" i="8"/>
  <c r="F117" i="8" s="1"/>
  <c r="G117" i="8" s="1"/>
  <c r="E118" i="8"/>
  <c r="F118" i="8" s="1"/>
  <c r="G118" i="8" s="1"/>
  <c r="D42" i="3" s="1"/>
  <c r="E119" i="8"/>
  <c r="F119" i="8" s="1"/>
  <c r="G119" i="8" s="1"/>
  <c r="E120" i="8"/>
  <c r="F120" i="8" s="1"/>
  <c r="G120" i="8" s="1"/>
  <c r="E121" i="8"/>
  <c r="F121" i="8" s="1"/>
  <c r="G121" i="8" s="1"/>
  <c r="E122" i="8"/>
  <c r="F122" i="8" s="1"/>
  <c r="G122" i="8" s="1"/>
  <c r="E123" i="8"/>
  <c r="F123" i="8" s="1"/>
  <c r="G123" i="8" s="1"/>
  <c r="E124" i="8"/>
  <c r="F124" i="8" s="1"/>
  <c r="G124" i="8" s="1"/>
  <c r="E125" i="8"/>
  <c r="F125" i="8" s="1"/>
  <c r="G125" i="8" s="1"/>
  <c r="E126" i="8"/>
  <c r="F126" i="8" s="1"/>
  <c r="G126" i="8" s="1"/>
  <c r="D49" i="3" s="1"/>
  <c r="E127" i="8"/>
  <c r="F127" i="8" s="1"/>
  <c r="G127" i="8" s="1"/>
  <c r="E128" i="8"/>
  <c r="F128" i="8" s="1"/>
  <c r="G128" i="8" s="1"/>
  <c r="E129" i="8"/>
  <c r="F129" i="8" s="1"/>
  <c r="G129" i="8" s="1"/>
  <c r="D11" i="3" s="1"/>
  <c r="E130" i="8"/>
  <c r="F130" i="8" s="1"/>
  <c r="G130" i="8" s="1"/>
  <c r="E131" i="8"/>
  <c r="F131" i="8" s="1"/>
  <c r="G131" i="8" s="1"/>
  <c r="D10" i="3" s="1"/>
  <c r="E132" i="8"/>
  <c r="F132" i="8" s="1"/>
  <c r="G132" i="8" s="1"/>
  <c r="E133" i="8"/>
  <c r="F133" i="8" s="1"/>
  <c r="G133" i="8" s="1"/>
  <c r="E134" i="8"/>
  <c r="F134" i="8" s="1"/>
  <c r="G134" i="8" s="1"/>
  <c r="D21" i="3" s="1"/>
  <c r="E135" i="8"/>
  <c r="F135" i="8" s="1"/>
  <c r="G135" i="8" s="1"/>
  <c r="E136" i="8"/>
  <c r="F136" i="8" s="1"/>
  <c r="G136" i="8" s="1"/>
  <c r="D30" i="3" s="1"/>
  <c r="E137" i="8"/>
  <c r="F137" i="8" s="1"/>
  <c r="G137" i="8" s="1"/>
  <c r="D51" i="3" s="1"/>
  <c r="E138" i="8"/>
  <c r="F138" i="8" s="1"/>
  <c r="G138" i="8" s="1"/>
  <c r="E139" i="8"/>
  <c r="F139" i="8" s="1"/>
  <c r="E140" i="8"/>
  <c r="F140" i="8" s="1"/>
  <c r="G140" i="8" s="1"/>
  <c r="E141" i="8"/>
  <c r="F141" i="8" s="1"/>
  <c r="G141" i="8" s="1"/>
  <c r="E142" i="8"/>
  <c r="F142" i="8" s="1"/>
  <c r="G142" i="8" s="1"/>
  <c r="D31" i="3" s="1"/>
  <c r="E143" i="8"/>
  <c r="F143" i="8" s="1"/>
  <c r="G143" i="8" s="1"/>
  <c r="E144" i="8"/>
  <c r="F144" i="8" s="1"/>
  <c r="G144" i="8" s="1"/>
  <c r="E145" i="8"/>
  <c r="F145" i="8" s="1"/>
  <c r="G145" i="8" s="1"/>
  <c r="E146" i="8"/>
  <c r="F146" i="8" s="1"/>
  <c r="G146" i="8" s="1"/>
  <c r="D7" i="3" s="1"/>
  <c r="E147" i="8"/>
  <c r="F147" i="8" s="1"/>
  <c r="G147" i="8" s="1"/>
  <c r="E148" i="8"/>
  <c r="F148" i="8" s="1"/>
  <c r="G148" i="8" s="1"/>
  <c r="E149" i="8"/>
  <c r="F149" i="8" s="1"/>
  <c r="G149" i="8" s="1"/>
  <c r="E150" i="8"/>
  <c r="F150" i="8" s="1"/>
  <c r="G150" i="8" s="1"/>
  <c r="E151" i="8"/>
  <c r="F151" i="8" s="1"/>
  <c r="G151" i="8" s="1"/>
  <c r="D44" i="3" s="1"/>
  <c r="E152" i="8"/>
  <c r="F152" i="8" s="1"/>
  <c r="G152" i="8" s="1"/>
  <c r="D13" i="3" s="1"/>
  <c r="E153" i="8"/>
  <c r="F153" i="8" s="1"/>
  <c r="G153" i="8" s="1"/>
  <c r="E154" i="8"/>
  <c r="F154" i="8" s="1"/>
  <c r="G154" i="8" s="1"/>
  <c r="D24" i="3" s="1"/>
  <c r="E155" i="8"/>
  <c r="F155" i="8" s="1"/>
  <c r="E156" i="8"/>
  <c r="F156" i="8" s="1"/>
  <c r="G156" i="8" s="1"/>
  <c r="D33" i="3" s="1"/>
  <c r="E157" i="8"/>
  <c r="F157" i="8" s="1"/>
  <c r="G157" i="8" s="1"/>
  <c r="E158" i="8"/>
  <c r="F158" i="8" s="1"/>
  <c r="G158" i="8" s="1"/>
  <c r="E159" i="8"/>
  <c r="F159" i="8" s="1"/>
  <c r="G159" i="8" s="1"/>
  <c r="E160" i="8"/>
  <c r="F160" i="8" s="1"/>
  <c r="G160" i="8" s="1"/>
  <c r="E161" i="8"/>
  <c r="F161" i="8" s="1"/>
  <c r="G161" i="8" s="1"/>
  <c r="E162" i="8"/>
  <c r="F162" i="8" s="1"/>
  <c r="G162" i="8" s="1"/>
  <c r="E163" i="8"/>
  <c r="F163" i="8" s="1"/>
  <c r="G163" i="8" s="1"/>
  <c r="E164" i="8"/>
  <c r="F164" i="8" s="1"/>
  <c r="G164" i="8" s="1"/>
  <c r="E165" i="8"/>
  <c r="F165" i="8" s="1"/>
  <c r="G165" i="8" s="1"/>
  <c r="E166" i="8"/>
  <c r="F166" i="8" s="1"/>
  <c r="G166" i="8" s="1"/>
  <c r="D12" i="3" s="1"/>
  <c r="E167" i="8"/>
  <c r="F167" i="8" s="1"/>
  <c r="G167" i="8" s="1"/>
  <c r="E168" i="8"/>
  <c r="F168" i="8" s="1"/>
  <c r="G168" i="8" s="1"/>
  <c r="E169" i="8"/>
  <c r="F169" i="8" s="1"/>
  <c r="G169" i="8" s="1"/>
  <c r="E170" i="8"/>
  <c r="F170" i="8" s="1"/>
  <c r="G170" i="8" s="1"/>
  <c r="E171" i="8"/>
  <c r="F171" i="8" s="1"/>
  <c r="G171" i="8" s="1"/>
  <c r="E172" i="8"/>
  <c r="F172" i="8" s="1"/>
  <c r="G172" i="8" s="1"/>
  <c r="E173" i="8"/>
  <c r="F173" i="8" s="1"/>
  <c r="G173" i="8" s="1"/>
  <c r="E174" i="8"/>
  <c r="F174" i="8" s="1"/>
  <c r="G174" i="8" s="1"/>
  <c r="D20" i="3" s="1"/>
  <c r="E175" i="8"/>
  <c r="F175" i="8" s="1"/>
  <c r="G175" i="8" s="1"/>
  <c r="E176" i="8"/>
  <c r="F176" i="8" s="1"/>
  <c r="G176" i="8" s="1"/>
  <c r="D2" i="3" s="1"/>
  <c r="E177" i="8"/>
  <c r="F177" i="8" s="1"/>
  <c r="G177" i="8" s="1"/>
  <c r="E178" i="8"/>
  <c r="F178" i="8" s="1"/>
  <c r="G178" i="8" s="1"/>
  <c r="E179" i="8"/>
  <c r="F179" i="8" s="1"/>
  <c r="G179" i="8" s="1"/>
  <c r="E180" i="8"/>
  <c r="F180" i="8" s="1"/>
  <c r="G180" i="8" s="1"/>
  <c r="E181" i="8"/>
  <c r="F181" i="8" s="1"/>
  <c r="G181" i="8" s="1"/>
  <c r="E182" i="8"/>
  <c r="F182" i="8" s="1"/>
  <c r="G182" i="8" s="1"/>
  <c r="E183" i="8"/>
  <c r="F183" i="8" s="1"/>
  <c r="G183" i="8" s="1"/>
  <c r="E184" i="8"/>
  <c r="F184" i="8" s="1"/>
  <c r="G184" i="8" s="1"/>
  <c r="E185" i="8"/>
  <c r="F185" i="8" s="1"/>
  <c r="G185" i="8" s="1"/>
  <c r="D23" i="3" s="1"/>
  <c r="E186" i="8"/>
  <c r="F186" i="8" s="1"/>
  <c r="G186" i="8" s="1"/>
  <c r="E187" i="8"/>
  <c r="F187" i="8" s="1"/>
  <c r="G187" i="8" s="1"/>
  <c r="D17" i="3" s="1"/>
  <c r="E188" i="8"/>
  <c r="F188" i="8" s="1"/>
  <c r="G188" i="8" s="1"/>
  <c r="E189" i="8"/>
  <c r="F189" i="8" s="1"/>
  <c r="G189" i="8" s="1"/>
  <c r="E190" i="8"/>
  <c r="F190" i="8" s="1"/>
  <c r="G190" i="8" s="1"/>
  <c r="E191" i="8"/>
  <c r="F191" i="8" s="1"/>
  <c r="G191" i="8" s="1"/>
  <c r="E192" i="8"/>
  <c r="F192" i="8" s="1"/>
  <c r="G192" i="8" s="1"/>
  <c r="E193" i="8"/>
  <c r="F193" i="8" s="1"/>
  <c r="G193" i="8" s="1"/>
  <c r="D22" i="3" s="1"/>
  <c r="E194" i="8"/>
  <c r="F194" i="8" s="1"/>
  <c r="G194" i="8" s="1"/>
  <c r="E195" i="8"/>
  <c r="F195" i="8" s="1"/>
  <c r="G195" i="8" s="1"/>
  <c r="E196" i="8"/>
  <c r="F196" i="8" s="1"/>
  <c r="G196" i="8" s="1"/>
  <c r="E197" i="8"/>
  <c r="F197" i="8" s="1"/>
  <c r="G197" i="8" s="1"/>
  <c r="E198" i="8"/>
  <c r="F198" i="8" s="1"/>
  <c r="G198" i="8" s="1"/>
  <c r="D38" i="3" s="1"/>
  <c r="E199" i="8"/>
  <c r="F199" i="8" s="1"/>
  <c r="G199" i="8" s="1"/>
  <c r="E200" i="8"/>
  <c r="F200" i="8" s="1"/>
  <c r="G200" i="8" s="1"/>
  <c r="D36" i="3" s="1"/>
  <c r="E201" i="8"/>
  <c r="F201" i="8" s="1"/>
  <c r="G201" i="8" s="1"/>
  <c r="E2" i="8"/>
  <c r="F2" i="8" s="1"/>
  <c r="G2" i="8" s="1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" i="8"/>
  <c r="I1" i="1" l="1"/>
  <c r="D14" i="3"/>
  <c r="D26" i="3"/>
  <c r="F23" i="7"/>
  <c r="G23" i="7" s="1"/>
  <c r="F15" i="7"/>
  <c r="G15" i="7" s="1"/>
  <c r="F70" i="7"/>
  <c r="G70" i="7" s="1"/>
  <c r="F73" i="7"/>
  <c r="G73" i="7" s="1"/>
  <c r="F45" i="7"/>
  <c r="G45" i="7" s="1"/>
  <c r="F33" i="7"/>
  <c r="G33" i="7" s="1"/>
  <c r="D27" i="3"/>
  <c r="D5" i="3"/>
  <c r="F39" i="7"/>
  <c r="G39" i="7" s="1"/>
  <c r="F72" i="7"/>
  <c r="G72" i="7" s="1"/>
  <c r="F47" i="7"/>
  <c r="G47" i="7" s="1"/>
  <c r="F67" i="7"/>
  <c r="G67" i="7" s="1"/>
  <c r="F54" i="7"/>
  <c r="G54" i="7" s="1"/>
  <c r="D6" i="3"/>
  <c r="D48" i="3"/>
  <c r="F101" i="7"/>
  <c r="G101" i="7" s="1"/>
  <c r="F17" i="7"/>
  <c r="G17" i="7" s="1"/>
  <c r="F92" i="7"/>
  <c r="G92" i="7" s="1"/>
  <c r="F50" i="7"/>
  <c r="G50" i="7" s="1"/>
  <c r="F71" i="7"/>
  <c r="G71" i="7" s="1"/>
  <c r="F64" i="7"/>
  <c r="G64" i="7" s="1"/>
  <c r="F84" i="7"/>
  <c r="G84" i="7" s="1"/>
  <c r="F88" i="7"/>
  <c r="G88" i="7" s="1"/>
  <c r="F68" i="7"/>
  <c r="G68" i="7" s="1"/>
  <c r="F6" i="7"/>
  <c r="G6" i="7" s="1"/>
  <c r="D46" i="3"/>
  <c r="F36" i="7"/>
  <c r="G36" i="7" s="1"/>
  <c r="F86" i="7"/>
  <c r="G86" i="7" s="1"/>
  <c r="F18" i="7"/>
  <c r="G18" i="7" s="1"/>
  <c r="F20" i="7"/>
  <c r="G20" i="7" s="1"/>
  <c r="F11" i="7"/>
  <c r="G11" i="7" s="1"/>
  <c r="F60" i="7"/>
  <c r="G60" i="7" s="1"/>
  <c r="D9" i="3"/>
  <c r="F40" i="7"/>
  <c r="G40" i="7" s="1"/>
  <c r="F97" i="7"/>
  <c r="G97" i="7" s="1"/>
  <c r="F9" i="7"/>
  <c r="G9" i="7" s="1"/>
  <c r="F27" i="7"/>
  <c r="G27" i="7" s="1"/>
  <c r="F38" i="7"/>
  <c r="G38" i="7" s="1"/>
  <c r="D8" i="3"/>
  <c r="F14" i="7"/>
  <c r="G14" i="7" s="1"/>
  <c r="F7" i="7"/>
  <c r="G7" i="7" s="1"/>
  <c r="F65" i="7"/>
  <c r="G65" i="7" s="1"/>
  <c r="F51" i="7"/>
  <c r="G51" i="7" s="1"/>
  <c r="F8" i="7"/>
  <c r="G8" i="7" s="1"/>
  <c r="F59" i="7"/>
  <c r="G59" i="7" s="1"/>
  <c r="F93" i="7"/>
  <c r="G93" i="7" s="1"/>
  <c r="F79" i="7"/>
  <c r="G79" i="7" s="1"/>
  <c r="F96" i="7"/>
  <c r="G96" i="7" s="1"/>
  <c r="F100" i="7"/>
  <c r="G100" i="7" s="1"/>
  <c r="F21" i="7"/>
  <c r="G21" i="7" s="1"/>
  <c r="F22" i="7"/>
  <c r="G22" i="7" s="1"/>
  <c r="D18" i="3"/>
  <c r="D3" i="3"/>
  <c r="F2" i="7"/>
  <c r="G2" i="7" s="1"/>
  <c r="F57" i="7"/>
  <c r="G57" i="7" s="1"/>
  <c r="F16" i="7"/>
  <c r="G16" i="7" s="1"/>
  <c r="F4" i="7"/>
  <c r="G4" i="7" s="1"/>
  <c r="F91" i="7"/>
  <c r="G91" i="7" s="1"/>
  <c r="F56" i="7"/>
  <c r="G56" i="7" s="1"/>
  <c r="F31" i="7"/>
  <c r="G31" i="7" s="1"/>
  <c r="F19" i="7"/>
  <c r="G19" i="7" s="1"/>
  <c r="F5" i="7"/>
  <c r="G5" i="7" s="1"/>
  <c r="D16" i="3"/>
  <c r="F12" i="7"/>
  <c r="G12" i="7" s="1"/>
  <c r="F44" i="7"/>
  <c r="G44" i="7" s="1"/>
  <c r="D43" i="3"/>
  <c r="F85" i="7"/>
  <c r="G85" i="7" s="1"/>
  <c r="F43" i="7"/>
  <c r="G43" i="7" s="1"/>
  <c r="F53" i="7"/>
  <c r="G53" i="7" s="1"/>
  <c r="F87" i="7"/>
  <c r="G87" i="7" s="1"/>
  <c r="F35" i="7"/>
  <c r="G35" i="7" s="1"/>
  <c r="F89" i="7"/>
  <c r="G89" i="7" s="1"/>
  <c r="F63" i="7"/>
  <c r="G63" i="7" s="1"/>
  <c r="F55" i="7"/>
  <c r="G55" i="7" s="1"/>
  <c r="F10" i="7"/>
  <c r="G10" i="7" s="1"/>
  <c r="F83" i="7"/>
  <c r="G83" i="7" s="1"/>
  <c r="F37" i="7"/>
  <c r="G37" i="7" s="1"/>
  <c r="F26" i="7"/>
  <c r="G26" i="7" s="1"/>
  <c r="F58" i="7"/>
  <c r="G58" i="7" s="1"/>
  <c r="F74" i="7"/>
  <c r="G74" i="7" s="1"/>
  <c r="F61" i="7"/>
  <c r="G61" i="7" s="1"/>
  <c r="F94" i="7"/>
  <c r="G94" i="7" s="1"/>
  <c r="F49" i="7"/>
  <c r="G49" i="7" s="1"/>
  <c r="F81" i="7"/>
  <c r="G81" i="7" s="1"/>
  <c r="F95" i="7"/>
  <c r="G95" i="7" s="1"/>
  <c r="F30" i="7"/>
  <c r="G30" i="7" s="1"/>
  <c r="D32" i="3"/>
  <c r="F77" i="7"/>
  <c r="G77" i="7" s="1"/>
</calcChain>
</file>

<file path=xl/sharedStrings.xml><?xml version="1.0" encoding="utf-8"?>
<sst xmlns="http://schemas.openxmlformats.org/spreadsheetml/2006/main" count="725" uniqueCount="379">
  <si>
    <t>r_no</t>
  </si>
  <si>
    <t>pu_no</t>
  </si>
  <si>
    <t>r_content</t>
  </si>
  <si>
    <t>r_star</t>
  </si>
  <si>
    <t>평범한 제품, 기대 이하였습니다.</t>
  </si>
  <si>
    <t>제품에 만족하지 못했습니다.</t>
  </si>
  <si>
    <t>품질은 좋으나 배송이 늦었습니다.</t>
  </si>
  <si>
    <t>우수한 품질, 다시 구매할 거예요!</t>
  </si>
  <si>
    <t>훌륭한 제품이었습니다. 다시 구매하고 싶어요!</t>
  </si>
  <si>
    <t>sa_no</t>
  </si>
  <si>
    <t>start_date</t>
  </si>
  <si>
    <t>end_date</t>
  </si>
  <si>
    <t>sa_sale</t>
  </si>
  <si>
    <t>p_no</t>
  </si>
  <si>
    <t>21번 줄 빈칸 있음</t>
    <phoneticPr fontId="1" type="noConversion"/>
  </si>
  <si>
    <t>s_no</t>
  </si>
  <si>
    <t>u_no</t>
  </si>
  <si>
    <t>p_s</t>
  </si>
  <si>
    <t>p_m</t>
  </si>
  <si>
    <t>p_l</t>
  </si>
  <si>
    <t>p_xl</t>
  </si>
  <si>
    <t>sb_no</t>
  </si>
  <si>
    <t>c_no</t>
  </si>
  <si>
    <t>니트/스웨터</t>
  </si>
  <si>
    <t>맨투맨</t>
  </si>
  <si>
    <t>후드티</t>
  </si>
  <si>
    <t>긴소매 티셔츠</t>
  </si>
  <si>
    <t>반소매 티셔츠</t>
  </si>
  <si>
    <t>숏 팬츠</t>
  </si>
  <si>
    <t>코튼 팬츠</t>
  </si>
  <si>
    <t>레깅스</t>
  </si>
  <si>
    <t>스포츠 하의</t>
  </si>
  <si>
    <t>기타 바지</t>
  </si>
  <si>
    <t>구두</t>
  </si>
  <si>
    <t>로퍼</t>
  </si>
  <si>
    <t>힐/펌프스</t>
  </si>
  <si>
    <t>플랫 슈즈</t>
  </si>
  <si>
    <t>슬리퍼</t>
  </si>
  <si>
    <t>후드 집업</t>
  </si>
  <si>
    <t>블루종/MA-1</t>
  </si>
  <si>
    <t>레더/라이더스 재킷</t>
  </si>
  <si>
    <t>트러커 재킷</t>
  </si>
  <si>
    <t>가디건</t>
  </si>
  <si>
    <t>마스크</t>
  </si>
  <si>
    <t>키링/키케이스</t>
  </si>
  <si>
    <t>벨트</t>
  </si>
  <si>
    <t>넥타이</t>
  </si>
  <si>
    <t>머플러</t>
  </si>
  <si>
    <t>sb_name</t>
    <phoneticPr fontId="1" type="noConversion"/>
  </si>
  <si>
    <t>c_no</t>
    <phoneticPr fontId="1" type="noConversion"/>
  </si>
  <si>
    <t>u_id</t>
  </si>
  <si>
    <t>u_pw</t>
  </si>
  <si>
    <t>u_name</t>
  </si>
  <si>
    <t>u_price</t>
  </si>
  <si>
    <t>u_birth</t>
  </si>
  <si>
    <t>u_img</t>
  </si>
  <si>
    <t>user01</t>
  </si>
  <si>
    <t>user01!</t>
  </si>
  <si>
    <t>손준서</t>
  </si>
  <si>
    <t>user02</t>
  </si>
  <si>
    <t>user02!</t>
  </si>
  <si>
    <t>이예은</t>
  </si>
  <si>
    <t>user03</t>
  </si>
  <si>
    <t>user03!</t>
  </si>
  <si>
    <t>강수빈</t>
  </si>
  <si>
    <t>user04</t>
  </si>
  <si>
    <t>user04!</t>
  </si>
  <si>
    <t>윤예지</t>
  </si>
  <si>
    <t>user05</t>
  </si>
  <si>
    <t>user05!</t>
  </si>
  <si>
    <t>박동현</t>
  </si>
  <si>
    <t>user06</t>
  </si>
  <si>
    <t>user06!</t>
  </si>
  <si>
    <t>이성민</t>
  </si>
  <si>
    <t>user07</t>
  </si>
  <si>
    <t>user07!</t>
  </si>
  <si>
    <t>박영호</t>
  </si>
  <si>
    <t>user08</t>
  </si>
  <si>
    <t>user08!</t>
  </si>
  <si>
    <t>이수민</t>
  </si>
  <si>
    <t>user09</t>
  </si>
  <si>
    <t>user09!</t>
  </si>
  <si>
    <t>엄지혜</t>
  </si>
  <si>
    <t>user10</t>
  </si>
  <si>
    <t>user10!</t>
  </si>
  <si>
    <t>김지연</t>
  </si>
  <si>
    <t>user11</t>
  </si>
  <si>
    <t>user11!</t>
  </si>
  <si>
    <t>고우진</t>
  </si>
  <si>
    <t>user12</t>
  </si>
  <si>
    <t>user12!</t>
  </si>
  <si>
    <t>이상현</t>
  </si>
  <si>
    <t>user13</t>
  </si>
  <si>
    <t>user13!</t>
  </si>
  <si>
    <t>이현정</t>
  </si>
  <si>
    <t>user14</t>
  </si>
  <si>
    <t>user14!</t>
  </si>
  <si>
    <t>이영자</t>
  </si>
  <si>
    <t>user15</t>
  </si>
  <si>
    <t>user15!</t>
  </si>
  <si>
    <t>문영길</t>
  </si>
  <si>
    <t>user16</t>
  </si>
  <si>
    <t>user16!</t>
  </si>
  <si>
    <t>우정식</t>
  </si>
  <si>
    <t>user17</t>
  </si>
  <si>
    <t>user17!</t>
  </si>
  <si>
    <t>김준서</t>
  </si>
  <si>
    <t>user18</t>
  </si>
  <si>
    <t>user18!</t>
  </si>
  <si>
    <t>김우진</t>
  </si>
  <si>
    <t>user19</t>
  </si>
  <si>
    <t>user19!</t>
  </si>
  <si>
    <t>박정수</t>
  </si>
  <si>
    <t>user20</t>
  </si>
  <si>
    <t>user20!</t>
  </si>
  <si>
    <t>이현준</t>
  </si>
  <si>
    <t>user21</t>
  </si>
  <si>
    <t>user21!</t>
  </si>
  <si>
    <t>김현정</t>
  </si>
  <si>
    <t>user22</t>
  </si>
  <si>
    <t>user22!</t>
  </si>
  <si>
    <t>손현우</t>
  </si>
  <si>
    <t>user23</t>
  </si>
  <si>
    <t>user23!</t>
  </si>
  <si>
    <t>전예진</t>
  </si>
  <si>
    <t>user24</t>
  </si>
  <si>
    <t>user24!</t>
  </si>
  <si>
    <t>박은정</t>
  </si>
  <si>
    <t>user25</t>
  </si>
  <si>
    <t>user25!</t>
  </si>
  <si>
    <t>김영미</t>
  </si>
  <si>
    <t>user26</t>
  </si>
  <si>
    <t>user26!</t>
  </si>
  <si>
    <t>김은지</t>
  </si>
  <si>
    <t>user27</t>
  </si>
  <si>
    <t>user27!</t>
  </si>
  <si>
    <t>김정희</t>
  </si>
  <si>
    <t>user28</t>
  </si>
  <si>
    <t>user28!</t>
  </si>
  <si>
    <t>류진우</t>
  </si>
  <si>
    <t>user29</t>
  </si>
  <si>
    <t>user29!</t>
  </si>
  <si>
    <t>문민지</t>
  </si>
  <si>
    <t>user30</t>
  </si>
  <si>
    <t>user30!</t>
  </si>
  <si>
    <t>박성민</t>
  </si>
  <si>
    <t>pu_date</t>
  </si>
  <si>
    <t>pu_S</t>
  </si>
  <si>
    <t>pu_M</t>
  </si>
  <si>
    <t>pu_L</t>
  </si>
  <si>
    <t>pu_XL</t>
  </si>
  <si>
    <t>린넨 스카시 니트 셔츠 BLACK</t>
  </si>
  <si>
    <t>(OVERSIZED)HERITAGE DAN PK KNIT IVORY</t>
  </si>
  <si>
    <t>쿨에버 PK 반팔 니트티 NAVY</t>
  </si>
  <si>
    <t>HARD TWIST COMFORT POLO KNIT [IVORY]</t>
  </si>
  <si>
    <t>져지 블록코어 유니크 맨투맨 (VLS0014) 블랙/화이트</t>
  </si>
  <si>
    <t>[SET]뉴비긴 하프집 맨투맨 티셔츠 팬츠 셋업_블랙 트레이닝</t>
  </si>
  <si>
    <t>시티 빅오버 워크 맨투맨_Black</t>
  </si>
  <si>
    <t>더블코튼 피치스킨 오버핏 맨투맨 1992 블랙</t>
  </si>
  <si>
    <t>에센셜 후드 스웻 셔츠 (MELANGE GREY)</t>
  </si>
  <si>
    <t>스피드 피그먼트 후드 딥그레이 KMHD6727</t>
  </si>
  <si>
    <t>BEARS BASKETBALL DIET HOODIE GRAY</t>
  </si>
  <si>
    <t>리버스 웨이아웃 페인팅 후드_다크그레이_LT562</t>
  </si>
  <si>
    <t>베리클로즈 래글런 오버핏 롱 슬리브</t>
  </si>
  <si>
    <t>입으면 바로 힙스터 LS 티셔츠 [블랙]</t>
  </si>
  <si>
    <t>Moon Night Raglan L/S Tee [4Color]</t>
  </si>
  <si>
    <t>리즌 트레일 피그먼트 롱 슬리브 크림</t>
  </si>
  <si>
    <t>[3PACK]퓨어코튼 24수 롱기장 레이어드 반팔</t>
  </si>
  <si>
    <t>넘버 크랙 티 레드</t>
  </si>
  <si>
    <t>ARMED 23 저지 티셔츠 [블랙]</t>
  </si>
  <si>
    <t>MOT SERIES TEE</t>
  </si>
  <si>
    <t>버뮤다 데님 숏팬츠(JBTPNT-0014)</t>
  </si>
  <si>
    <t>BELTED DOBBY SHORTS</t>
  </si>
  <si>
    <t>Deep One Tuck Sweat Shorts</t>
  </si>
  <si>
    <t>ANW Double Jersey Short Pants</t>
  </si>
  <si>
    <t>CORDUROY CARGO PARACHUTE PANTS</t>
  </si>
  <si>
    <t>LINEN CHINO PANTS CHARCOAL</t>
  </si>
  <si>
    <t>Steady Balloon Snap Pants Black</t>
  </si>
  <si>
    <t>코튼 밴딩 와이드 팬츠 (BEIGE)</t>
  </si>
  <si>
    <t>[2 PACK] 에어플러스 부츠컷 레깅스 AWNELG705</t>
  </si>
  <si>
    <t>편애깅스-세미 부츠컷 CDTM24A02_7358</t>
  </si>
  <si>
    <t>CLWP3013 텐션 업 바이커 쇼츠 블랙</t>
  </si>
  <si>
    <t>라이즈 업 에어 플러스 바이커 쇼츠 AWSDLG731</t>
  </si>
  <si>
    <t>뉴비긴 트레이닝 조거팬츠_블랙 트레이닝</t>
  </si>
  <si>
    <t>에어 썸머 조거 밴딩 바스락 팬츠 5PP911</t>
  </si>
  <si>
    <t>무지 버뮤다 팬츠 4컬러</t>
  </si>
  <si>
    <t>쿨링 조거팬츠</t>
  </si>
  <si>
    <t>EERSUCKER COMFORT PANTS_CHARCOAL</t>
  </si>
  <si>
    <t>린넨 원턱 테이퍼드 밴딩 팬츠</t>
  </si>
  <si>
    <t>클래식 테이퍼드 와이드 원턱 린넨 팬츠_9Color</t>
  </si>
  <si>
    <t>10007 BK HORSE DERBY</t>
  </si>
  <si>
    <t>베이직 티셔츠</t>
  </si>
  <si>
    <t>SHOWER - 808</t>
  </si>
  <si>
    <t>ZERO DERBY 더비 01</t>
  </si>
  <si>
    <t>GRAINY - 547(a)</t>
  </si>
  <si>
    <t>남성용 소가죽 페니로퍼 HS-906_BLACK</t>
  </si>
  <si>
    <t>10008 BK HORSE LOAFERS</t>
  </si>
  <si>
    <t>마쯔 남성 페니 로퍼 3.5cm LCMD82I111</t>
  </si>
  <si>
    <t>ljh7043 Platform maryjane loafer _ 2colors</t>
  </si>
  <si>
    <t>BRYN VELCRO SNEAKERS - 3color</t>
  </si>
  <si>
    <t>스틸레토 더블 리본장식 슬링백 412412002</t>
  </si>
  <si>
    <t>BRYN VELCRO SNEAKERS(MESH)</t>
  </si>
  <si>
    <t>볼드 메리제인</t>
  </si>
  <si>
    <t>에리노 에나멜 리본 메리제인 플랫슈즈</t>
  </si>
  <si>
    <t>스퀘어 밴딩 바부슈 플랫</t>
  </si>
  <si>
    <t>스퀘어 토 메리제인 플랫슈즈</t>
  </si>
  <si>
    <t>n9000_주플랫</t>
  </si>
  <si>
    <t>아리조나 블랙</t>
  </si>
  <si>
    <t>OORIGINAL BLACK - 조리 블랙</t>
  </si>
  <si>
    <t>아딜렛 아윤 슬라이드</t>
  </si>
  <si>
    <t>릴렉스 슬라이드</t>
  </si>
  <si>
    <t>루즈핏 2Way 스웨트 후드집업</t>
  </si>
  <si>
    <t>루즈핏 2-WAY 후드집업</t>
  </si>
  <si>
    <t>샤이닝 스타 집업</t>
  </si>
  <si>
    <t>포시즌 에센셜 피그먼트 후드집업</t>
  </si>
  <si>
    <t>카라 블루종 스웨이드 자켓 블랙</t>
  </si>
  <si>
    <t>스탠다드 블루종 스웨이드 자켓 블랙</t>
  </si>
  <si>
    <t>비건 스웨이드 오버핏 미니멀 인시전 스트레이트 집업 자켓</t>
  </si>
  <si>
    <t>LIGHT RELAX FIT BLOUSON IVORY</t>
  </si>
  <si>
    <t>PLMT 아트피셜 자켓(블랙)</t>
  </si>
  <si>
    <t>비건 레더 오버핏 블루종 [블랙]</t>
  </si>
  <si>
    <t>트리밍 라인 바시티 레더 자켓 블랙</t>
  </si>
  <si>
    <t>VEGAN LEATHER THYNSULATE PADDING_CREAM</t>
  </si>
  <si>
    <t>데미지 워싱 데님 트러커 자켓 연청</t>
  </si>
  <si>
    <t>Lot 44806XX WWII Type 1 Selvedge Denim Jacket</t>
  </si>
  <si>
    <t>워시드 데님 트러커 자켓</t>
  </si>
  <si>
    <t>오버핏 크롭 투포켓 데님 자켓</t>
  </si>
  <si>
    <t>에잇 라운드 썸머와플 반팔 니트가디건 크림</t>
  </si>
  <si>
    <t>안티필링 볼륨 와플 가디건 NAVY</t>
  </si>
  <si>
    <t>V NECK BASIC CARDIGAN GRAY</t>
  </si>
  <si>
    <t>자수 가디건_PHE1EC2010</t>
  </si>
  <si>
    <t>PLG CU+(구리) 항균 마스크</t>
  </si>
  <si>
    <t>KF94 시그니쳐 퍼펙트핏 마스크 30매</t>
  </si>
  <si>
    <t>KF94 시그니쳐 퍼펙트핏 마스크 100매</t>
  </si>
  <si>
    <t>KF94 접이식 컬러 마스크 화이트 대형</t>
  </si>
  <si>
    <t>카라비너 로프 레이어드 키링</t>
  </si>
  <si>
    <t>FEATHER KEY CHAIN</t>
  </si>
  <si>
    <t>카라비너 리프 레이어드 키링</t>
  </si>
  <si>
    <t>Patchwork denim card wallet</t>
  </si>
  <si>
    <t>플랫 스퀘어 이탈리안 레더 벨트</t>
  </si>
  <si>
    <t>미니멀 스퀘어 하드레더 벨트</t>
  </si>
  <si>
    <t>NUE REORG LOGO BELT BLACK</t>
  </si>
  <si>
    <t>이지 아미 벨트 (BLACK)</t>
  </si>
  <si>
    <t>워렌 슬림 타이 3COLOR</t>
  </si>
  <si>
    <t>슬림 모던 타이</t>
  </si>
  <si>
    <t>실크 솔리드 타이 [블랙]</t>
  </si>
  <si>
    <t>TY 스탠다드 타이_Black</t>
  </si>
  <si>
    <t>Kniited muffler (RED)</t>
  </si>
  <si>
    <t>레터링 머플러 [블랙]</t>
  </si>
  <si>
    <t>올강 쁘띠 밍크 머플러</t>
  </si>
  <si>
    <t>SMOCK CHECK MIX HAIRY MUFFLE</t>
  </si>
  <si>
    <t>HARD TWIST COMFORT POLO KNIT</t>
  </si>
  <si>
    <t>Stripe Cable Knit Ecru</t>
  </si>
  <si>
    <t>발롱 리본 스퀘어 니트 탑 [IVORY]</t>
  </si>
  <si>
    <t>구미 베어 써머 니트 하프 티</t>
  </si>
  <si>
    <t>시티 빅오버 워크 맨투맨_Khaki</t>
  </si>
  <si>
    <t>테리 그래픽 스웨트셔츠</t>
  </si>
  <si>
    <t>Crewneck Sweatshirts</t>
  </si>
  <si>
    <t>짱구 오또카지 스웨트셔츠</t>
  </si>
  <si>
    <t>챔스 어센틱 로고 프린팅 블록코어 래글런 후드</t>
  </si>
  <si>
    <t>TAG OG HOODIE - BURGUNDY</t>
  </si>
  <si>
    <t>오버핏 그래피티 로고 후디</t>
  </si>
  <si>
    <t>RV_OUR 1989 후드</t>
  </si>
  <si>
    <t>SP 세인트 클럽 롱 슬리브-화이트</t>
  </si>
  <si>
    <t>OUR DAILY LONG SLEEVE TEE</t>
  </si>
  <si>
    <t>아치로고 레이어드 긴팔티</t>
  </si>
  <si>
    <t>VZ 로고 빅 오버핏 보더 긴팔 티셔츠 그린</t>
  </si>
  <si>
    <t>APR8 SKELETON T-SHIRT</t>
  </si>
  <si>
    <t>텍스처드 스트라이프 티셔츠</t>
  </si>
  <si>
    <t>DOODLE HEART HALF T WHITE GREYISH BLUE</t>
  </si>
  <si>
    <t>SORANO Basic Logo T-shirt</t>
  </si>
  <si>
    <t>미니멀 트레이닝 essential 원턱 반바지</t>
  </si>
  <si>
    <t>버뮤다 와이드 원턱 스웨트 쇼츠 [그레이]</t>
  </si>
  <si>
    <t>플레시 썸머 원턱 하프팬츠</t>
  </si>
  <si>
    <t>바이오워싱 카펜터 버뮤다 데님 팬츠</t>
  </si>
  <si>
    <t>투턱 포켓 와이드 카고 벌룬 밴딩 팬츠</t>
  </si>
  <si>
    <t>린넨 와이드 밴딩 팬츠</t>
  </si>
  <si>
    <t>XP123 슬로건 밴딩 코튼 팬츠</t>
  </si>
  <si>
    <t>린넨 라이크 세미 와이드 밴딩 팬츠</t>
  </si>
  <si>
    <t>젤라 인텐션 바이커 쇼츠 5부 블랙</t>
  </si>
  <si>
    <t>올데이 라인업 부츠컷 레깅스</t>
  </si>
  <si>
    <t>에어쿨링 지니 시그니처 8.2부 레깅스</t>
  </si>
  <si>
    <t>편애깅스_소프트 텐션</t>
  </si>
  <si>
    <t>지모션 레귤러 테이퍼드 조거 팬츠</t>
  </si>
  <si>
    <t>여성요가복 볼드 튤립 쇼츠</t>
  </si>
  <si>
    <t>에어 플러스 조거 팬츠</t>
  </si>
  <si>
    <t>캠프 윈드브레이커 조거 팬츠 블랙</t>
  </si>
  <si>
    <t>폴라폴리스 밴딩 이지 팬츠[차콜]</t>
  </si>
  <si>
    <t>One Tuck Wide Baker Pants [Black]</t>
  </si>
  <si>
    <t>SEERSUCKER COMFORT PANTS_BEIGE</t>
  </si>
  <si>
    <t>코튼 와이드 카고 팬츠_베이지</t>
  </si>
  <si>
    <t>PINTO</t>
  </si>
  <si>
    <t>베이스먼트 더비 R21M042 (FG 블랙)</t>
  </si>
  <si>
    <t>남성 소가죽 클리퍼 3.5cm LCMD77J039</t>
  </si>
  <si>
    <t>3989 YS 스무스 블랙 / 22210001</t>
  </si>
  <si>
    <t>WTRD2600 마일 볼륨 스퀘어토 클로그 블랙</t>
  </si>
  <si>
    <t>4cm 소가죽 페니로퍼 피어슨(CR0047CB)</t>
  </si>
  <si>
    <t>드로우핏 X 슈펜 베이직 더비 HPMR7CA55M</t>
  </si>
  <si>
    <t>코즈웨이 소가죽 베이직 페니 로퍼 밴타블랙</t>
  </si>
  <si>
    <t>메리제인 - 트리플 블랙 / VN000CRRBJ4</t>
  </si>
  <si>
    <t>4.5cm 라운드토 청키 메리제인 루디(CW0053BK)</t>
  </si>
  <si>
    <t>커디스 메리제인 로퍼 크림 516323204ZQ</t>
  </si>
  <si>
    <t>아린스 에나멜 슬링백힐 (5/7cm)</t>
  </si>
  <si>
    <t>스윗버튼 메리제인 1.0 HPWWFD4901</t>
  </si>
  <si>
    <t>HAZEL RIBBON FLAT(QUILTED)</t>
  </si>
  <si>
    <t>BELLA MARYJANE FLAT</t>
  </si>
  <si>
    <t>BELLA QUILTED MARYJANE</t>
  </si>
  <si>
    <t>소프트 쿠션 슬리퍼</t>
  </si>
  <si>
    <t>아디케인 슬라이드 - 화이트 / IE0164</t>
  </si>
  <si>
    <t>오프코트 어저스트 슬라이드 W</t>
  </si>
  <si>
    <t>KOR SL 101</t>
  </si>
  <si>
    <t>TAG ZIP-UP HOODIE - ASH</t>
  </si>
  <si>
    <t>CAL LOGO RAGLAN HOOD ZIP-UP</t>
  </si>
  <si>
    <t>유스풀 벌룬 후드집업 그레이 SJHD1327</t>
  </si>
  <si>
    <t>EMBROIDERY UNIVERSITY DAN HOODIE ZIP UP GRAY</t>
  </si>
  <si>
    <t>스탠다드 블루종 스웨이드 자켓 아이보리</t>
  </si>
  <si>
    <t>오버핏 래글런 점퍼 (BLACK)</t>
  </si>
  <si>
    <t>오버사이즈 유틸리티 코튼 블루종 집업 자켓 [블랙]</t>
  </si>
  <si>
    <t>리치 오버 MA-1 자켓 블랙 YHJK2269</t>
  </si>
  <si>
    <t>바이커 칼라 스웨이드 자켓 카키</t>
  </si>
  <si>
    <t>레더 라인 바이커 자켓_블랙</t>
  </si>
  <si>
    <t>버핑레더 디바이드 바이커 자켓_Suede Brown</t>
  </si>
  <si>
    <t>오버핏 비건레더 싱글 자켓</t>
  </si>
  <si>
    <t>워싱 스티치 데님자켓 (BLACK)</t>
  </si>
  <si>
    <t>깡 스타일리스트 X 플랙 자켓 K75 그레이 블랙</t>
  </si>
  <si>
    <t>코듀라 RAW 데님 트러커 자켓 인디고 로우</t>
  </si>
  <si>
    <t>빈티지 워싱 데님 워크 자켓_Dark blue</t>
  </si>
  <si>
    <t>스트라이프 니트 후드집업 [레드]</t>
  </si>
  <si>
    <t>소프트 하찌 카라 가디건</t>
  </si>
  <si>
    <t>여 크루넥 가디건(14GG)</t>
  </si>
  <si>
    <t>쿨에어 코튼 크루넥 버튼 가디건_MSE5TC2901</t>
  </si>
  <si>
    <t>KF 94 MASK (10p)</t>
  </si>
  <si>
    <t>KF94 시그니쳐 퍼펙트핏 마스크 50매</t>
  </si>
  <si>
    <t>KF-AD 접이식 컬러 마스크 다크그레이</t>
  </si>
  <si>
    <t>카리스 Karis 카퍼 패션 마스크</t>
  </si>
  <si>
    <t>SSANGNYOUNGEE KEY RING BLACK</t>
  </si>
  <si>
    <t>카라비너 애스트로넛 레이어드 키링</t>
  </si>
  <si>
    <t>vintage double keyring</t>
  </si>
  <si>
    <t>에일리언 키링</t>
  </si>
  <si>
    <t>gold bell buckle cowhide leather belt (T006_brown)</t>
  </si>
  <si>
    <t>사피아노 신세틱 레더 벨트</t>
  </si>
  <si>
    <t>소가죽 캐주얼 남성 수동 슬림 벨트 MFB203</t>
  </si>
  <si>
    <t>데이 레더 벨트 [BROWN]</t>
  </si>
  <si>
    <t>자동/지퍼넥타이- 예장 블랙 슬림 7cm</t>
  </si>
  <si>
    <t>(BE3981M00Z) 실크 타이 와인</t>
  </si>
  <si>
    <t>METAL SYMBOL LOGO PIN NECKTIE-BLACK</t>
  </si>
  <si>
    <t>솔리드 울타이_Black</t>
  </si>
  <si>
    <t>스트라이프 머플러 (브라운)</t>
  </si>
  <si>
    <t>Reversible Padded Muffle</t>
  </si>
  <si>
    <t>스트라이프 머플러 (블루)</t>
  </si>
  <si>
    <t>knitted muffler (IVORY)</t>
  </si>
  <si>
    <t>c_name</t>
  </si>
  <si>
    <t>상의</t>
  </si>
  <si>
    <t>하의</t>
  </si>
  <si>
    <t>신발</t>
  </si>
  <si>
    <t>아우터</t>
  </si>
  <si>
    <t>액세서리</t>
  </si>
  <si>
    <t>상품명</t>
    <phoneticPr fontId="1" type="noConversion"/>
  </si>
  <si>
    <t>가격</t>
    <phoneticPr fontId="1" type="noConversion"/>
  </si>
  <si>
    <t>수량s</t>
    <phoneticPr fontId="1" type="noConversion"/>
  </si>
  <si>
    <t>수량m</t>
    <phoneticPr fontId="1" type="noConversion"/>
  </si>
  <si>
    <t>수량L</t>
    <phoneticPr fontId="1" type="noConversion"/>
  </si>
  <si>
    <t>수량티</t>
    <phoneticPr fontId="1" type="noConversion"/>
  </si>
  <si>
    <t>blod</t>
    <phoneticPr fontId="1" type="noConversion"/>
  </si>
  <si>
    <t>세일여부</t>
    <phoneticPr fontId="1" type="noConversion"/>
  </si>
  <si>
    <t>할인율</t>
    <phoneticPr fontId="1" type="noConversion"/>
  </si>
  <si>
    <t>금액</t>
    <phoneticPr fontId="1" type="noConversion"/>
  </si>
  <si>
    <t>판매자</t>
    <phoneticPr fontId="1" type="noConversion"/>
  </si>
  <si>
    <t>평점</t>
    <phoneticPr fontId="1" type="noConversion"/>
  </si>
  <si>
    <t>상품</t>
    <phoneticPr fontId="1" type="noConversion"/>
  </si>
  <si>
    <t>최종금액</t>
    <phoneticPr fontId="1" type="noConversion"/>
  </si>
  <si>
    <t>총금액</t>
    <phoneticPr fontId="1" type="noConversion"/>
  </si>
  <si>
    <t>단가</t>
    <phoneticPr fontId="1" type="noConversion"/>
  </si>
  <si>
    <t>할인전</t>
    <phoneticPr fontId="1" type="noConversion"/>
  </si>
  <si>
    <t>구매자</t>
    <phoneticPr fontId="1" type="noConversion"/>
  </si>
  <si>
    <t>구매일</t>
    <phoneticPr fontId="1" type="noConversion"/>
  </si>
  <si>
    <t>세일시작</t>
  </si>
  <si>
    <t>세일종료</t>
  </si>
  <si>
    <t>기준일세일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</si>
</sst>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4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1"/>
      <color rgb="FFFF0000"/>
      <name val="Calibri"/>
      <family val="2"/>
      <charset val="129"/>
      <scheme val="minor"/>
    </font>
    <font>
      <sz val="11"/>
      <color rgb="FFFF0000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64" fontId="3" fillId="0" borderId="0" xfId="0" applyNumberFormat="1" applyFont="1">
      <alignment vertical="center"/>
    </xf>
    <xf numFmtId="14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E10" sqref="E10"/>
    </sheetView>
  </sheetViews>
  <sheetFormatPr defaultRowHeight="14.5"/>
  <sheetData>
    <row r="1" spans="1:2">
      <c r="A1" t="s">
        <v>22</v>
      </c>
      <c r="B1" t="s">
        <v>351</v>
      </c>
    </row>
    <row r="2" spans="1:2">
      <c r="A2">
        <v>1</v>
      </c>
      <c r="B2" t="s">
        <v>352</v>
      </c>
    </row>
    <row r="3" spans="1:2">
      <c r="A3">
        <v>2</v>
      </c>
      <c r="B3" t="s">
        <v>353</v>
      </c>
    </row>
    <row r="4" spans="1:2">
      <c r="A4">
        <v>3</v>
      </c>
      <c r="B4" t="s">
        <v>354</v>
      </c>
    </row>
    <row r="5" spans="1:2">
      <c r="A5">
        <v>4</v>
      </c>
      <c r="B5" t="s">
        <v>355</v>
      </c>
    </row>
    <row r="6" spans="1:2">
      <c r="A6">
        <v>5</v>
      </c>
      <c r="B6" t="s">
        <v>356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1"/>
  <sheetViews>
    <sheetView tabSelected="1" workbookViewId="0">
      <selection activeCell="L15" sqref="L15"/>
    </sheetView>
  </sheetViews>
  <sheetFormatPr defaultRowHeight="14.5"/>
  <cols>
    <col min="2" max="2" width="14.08984375" customWidth="1"/>
    <col min="4" max="7" width="9.1796875" style="2"/>
    <col min="10" max="10" width="9.1796875" style="3"/>
    <col min="17" max="18" width="10.08984375" style="5" bestFit="1" customWidth="1"/>
    <col min="19" max="19" width="8.7265625" style="2"/>
  </cols>
  <sheetData>
    <row r="1" spans="1:19">
      <c r="A1" t="s">
        <v>13</v>
      </c>
      <c r="B1" t="s">
        <v>357</v>
      </c>
      <c r="C1" t="s">
        <v>358</v>
      </c>
      <c r="D1" s="2" t="s">
        <v>364</v>
      </c>
      <c r="E1" s="2" t="s">
        <v>365</v>
      </c>
      <c r="F1" s="2" t="s">
        <v>366</v>
      </c>
      <c r="G1" s="2" t="s">
        <v>370</v>
      </c>
      <c r="H1" t="s">
        <v>21</v>
      </c>
      <c r="I1" t="s">
        <v>16</v>
      </c>
      <c r="J1" s="2" t="s">
        <v>367</v>
      </c>
      <c r="K1" t="s">
        <v>359</v>
      </c>
      <c r="L1" t="s">
        <v>360</v>
      </c>
      <c r="M1" t="s">
        <v>361</v>
      </c>
      <c r="N1" t="s">
        <v>362</v>
      </c>
      <c r="O1" t="s">
        <v>363</v>
      </c>
      <c r="P1" t="s">
        <v>368</v>
      </c>
      <c r="Q1" s="5" t="s">
        <v>376</v>
      </c>
      <c r="R1" s="5" t="s">
        <v>377</v>
      </c>
      <c r="S1" s="2" t="s">
        <v>378</v>
      </c>
    </row>
    <row r="2" spans="1:19">
      <c r="A2">
        <v>1</v>
      </c>
      <c r="B2" t="s">
        <v>151</v>
      </c>
      <c r="C2">
        <v>100000</v>
      </c>
      <c r="D2" s="2" t="e">
        <f>VLOOKUP(A2,SaleList!E:E,1,0)</f>
        <v>#N/A</v>
      </c>
      <c r="E2" s="2" t="e">
        <f>VLOOKUP(A2,SaleList!E:F,2,0)</f>
        <v>#N/A</v>
      </c>
      <c r="F2" s="2" t="e">
        <f>C2*((100-E2)/100)</f>
        <v>#N/A</v>
      </c>
      <c r="G2" s="2">
        <f>_xlfn.IFNA(F2,C2)</f>
        <v>100000</v>
      </c>
      <c r="H2">
        <v>1</v>
      </c>
      <c r="I2">
        <v>18</v>
      </c>
      <c r="J2" s="3" t="str">
        <f>VLOOKUP(I2,User!A:D,4,0)</f>
        <v>김우진</v>
      </c>
      <c r="K2">
        <v>5</v>
      </c>
      <c r="L2">
        <v>10</v>
      </c>
      <c r="M2">
        <v>9</v>
      </c>
      <c r="N2">
        <v>9</v>
      </c>
      <c r="Q2" s="5" t="e">
        <f>VLOOKUP(A2,SaleList!E:G,3,0)</f>
        <v>#N/A</v>
      </c>
      <c r="R2" s="5" t="e">
        <f>VLOOKUP(A2,SaleList!E:H,4,0)</f>
        <v>#N/A</v>
      </c>
      <c r="S2" s="2" t="e">
        <f>IF(AND(Q2&lt;=DATE(2025,4,2), R2&gt;=DATE(2025,4,2)), 1, 0)</f>
        <v>#N/A</v>
      </c>
    </row>
    <row r="3" spans="1:19">
      <c r="A3">
        <v>2</v>
      </c>
      <c r="B3" t="s">
        <v>152</v>
      </c>
      <c r="C3">
        <v>65000</v>
      </c>
      <c r="D3" s="2">
        <f>VLOOKUP(A3,SaleList!E:E,1,0)</f>
        <v>2</v>
      </c>
      <c r="E3" s="2">
        <f>VLOOKUP(A3,SaleList!E:F,2,0)</f>
        <v>10</v>
      </c>
      <c r="F3" s="2">
        <f t="shared" ref="F3:F66" si="0">C3*((100-E3)/100)</f>
        <v>58500</v>
      </c>
      <c r="G3" s="2">
        <f t="shared" ref="G3:G66" si="1">_xlfn.IFNA(F3,C3)</f>
        <v>58500</v>
      </c>
      <c r="H3">
        <v>1</v>
      </c>
      <c r="I3">
        <v>24</v>
      </c>
      <c r="J3" s="3" t="str">
        <f>VLOOKUP(I3,User!A:D,4,0)</f>
        <v>박은정</v>
      </c>
      <c r="K3">
        <v>0</v>
      </c>
      <c r="L3">
        <v>6</v>
      </c>
      <c r="M3">
        <v>7</v>
      </c>
      <c r="N3">
        <v>7</v>
      </c>
      <c r="Q3" s="5">
        <f>VLOOKUP(A3,SaleList!E:G,3,0)</f>
        <v>45747</v>
      </c>
      <c r="R3" s="5">
        <f>VLOOKUP(A3,SaleList!E:H,4,0)</f>
        <v>45749</v>
      </c>
      <c r="S3" s="2">
        <f>IF(AND(Q3&lt;=DATE(2025,4,2), R3&gt;=DATE(2025,4,2)), 1, 0)</f>
        <v>1</v>
      </c>
    </row>
    <row r="4" spans="1:19">
      <c r="A4">
        <v>3</v>
      </c>
      <c r="B4" t="s">
        <v>153</v>
      </c>
      <c r="C4">
        <v>60000</v>
      </c>
      <c r="D4" s="2" t="e">
        <f>VLOOKUP(A4,SaleList!E:E,1,0)</f>
        <v>#N/A</v>
      </c>
      <c r="E4" s="2" t="e">
        <f>VLOOKUP(A4,SaleList!E:F,2,0)</f>
        <v>#N/A</v>
      </c>
      <c r="F4" s="2" t="e">
        <f t="shared" si="0"/>
        <v>#N/A</v>
      </c>
      <c r="G4" s="2">
        <f t="shared" si="1"/>
        <v>60000</v>
      </c>
      <c r="H4">
        <v>1</v>
      </c>
      <c r="I4">
        <v>7</v>
      </c>
      <c r="J4" s="3" t="str">
        <f>VLOOKUP(I4,User!A:D,4,0)</f>
        <v>박영호</v>
      </c>
      <c r="K4">
        <v>3</v>
      </c>
      <c r="L4">
        <v>3</v>
      </c>
      <c r="M4">
        <v>1</v>
      </c>
      <c r="N4">
        <v>5</v>
      </c>
      <c r="Q4" s="5" t="e">
        <f>VLOOKUP(A4,SaleList!E:G,3,0)</f>
        <v>#N/A</v>
      </c>
      <c r="R4" s="5" t="e">
        <f>VLOOKUP(A4,SaleList!E:H,4,0)</f>
        <v>#N/A</v>
      </c>
      <c r="S4" s="2" t="e">
        <f t="shared" ref="S4:S67" si="2">IF(AND(Q4&lt;=DATE(2025,4,2), R4&gt;=DATE(2025,4,2)), 1, 0)</f>
        <v>#N/A</v>
      </c>
    </row>
    <row r="5" spans="1:19">
      <c r="A5">
        <v>4</v>
      </c>
      <c r="B5" t="s">
        <v>154</v>
      </c>
      <c r="C5">
        <v>15000</v>
      </c>
      <c r="D5" s="2" t="e">
        <f>VLOOKUP(A5,SaleList!E:E,1,0)</f>
        <v>#N/A</v>
      </c>
      <c r="E5" s="2" t="e">
        <f>VLOOKUP(A5,SaleList!E:F,2,0)</f>
        <v>#N/A</v>
      </c>
      <c r="F5" s="2" t="e">
        <f t="shared" si="0"/>
        <v>#N/A</v>
      </c>
      <c r="G5" s="2">
        <f t="shared" si="1"/>
        <v>15000</v>
      </c>
      <c r="H5">
        <v>22</v>
      </c>
      <c r="I5">
        <v>24</v>
      </c>
      <c r="J5" s="3" t="str">
        <f>VLOOKUP(I5,User!A:D,4,0)</f>
        <v>박은정</v>
      </c>
      <c r="K5">
        <v>3</v>
      </c>
      <c r="L5">
        <v>6</v>
      </c>
      <c r="M5">
        <v>3</v>
      </c>
      <c r="N5">
        <v>1</v>
      </c>
      <c r="Q5" s="5" t="e">
        <f>VLOOKUP(A5,SaleList!E:G,3,0)</f>
        <v>#N/A</v>
      </c>
      <c r="R5" s="5" t="e">
        <f>VLOOKUP(A5,SaleList!E:H,4,0)</f>
        <v>#N/A</v>
      </c>
      <c r="S5" s="2" t="e">
        <f t="shared" si="2"/>
        <v>#N/A</v>
      </c>
    </row>
    <row r="6" spans="1:19">
      <c r="A6">
        <v>5</v>
      </c>
      <c r="B6" t="s">
        <v>155</v>
      </c>
      <c r="C6">
        <v>65000</v>
      </c>
      <c r="D6" s="2" t="e">
        <f>VLOOKUP(A6,SaleList!E:E,1,0)</f>
        <v>#N/A</v>
      </c>
      <c r="E6" s="2" t="e">
        <f>VLOOKUP(A6,SaleList!E:F,2,0)</f>
        <v>#N/A</v>
      </c>
      <c r="F6" s="2" t="e">
        <f t="shared" si="0"/>
        <v>#N/A</v>
      </c>
      <c r="G6" s="2">
        <f t="shared" si="1"/>
        <v>65000</v>
      </c>
      <c r="H6">
        <v>2</v>
      </c>
      <c r="I6">
        <v>1</v>
      </c>
      <c r="J6" s="3" t="str">
        <f>VLOOKUP(I6,User!A:D,4,0)</f>
        <v>손준서</v>
      </c>
      <c r="K6">
        <v>7</v>
      </c>
      <c r="L6">
        <v>5</v>
      </c>
      <c r="M6">
        <v>5</v>
      </c>
      <c r="N6">
        <v>5</v>
      </c>
      <c r="Q6" s="5" t="e">
        <f>VLOOKUP(A6,SaleList!E:G,3,0)</f>
        <v>#N/A</v>
      </c>
      <c r="R6" s="5" t="e">
        <f>VLOOKUP(A6,SaleList!E:H,4,0)</f>
        <v>#N/A</v>
      </c>
      <c r="S6" s="2" t="e">
        <f t="shared" si="2"/>
        <v>#N/A</v>
      </c>
    </row>
    <row r="7" spans="1:19">
      <c r="A7">
        <v>6</v>
      </c>
      <c r="B7" t="s">
        <v>156</v>
      </c>
      <c r="C7">
        <v>100000</v>
      </c>
      <c r="D7" s="2" t="e">
        <f>VLOOKUP(A7,SaleList!E:E,1,0)</f>
        <v>#N/A</v>
      </c>
      <c r="E7" s="2" t="e">
        <f>VLOOKUP(A7,SaleList!E:F,2,0)</f>
        <v>#N/A</v>
      </c>
      <c r="F7" s="2" t="e">
        <f t="shared" si="0"/>
        <v>#N/A</v>
      </c>
      <c r="G7" s="2">
        <f t="shared" si="1"/>
        <v>100000</v>
      </c>
      <c r="H7">
        <v>2</v>
      </c>
      <c r="I7">
        <v>14</v>
      </c>
      <c r="J7" s="3" t="str">
        <f>VLOOKUP(I7,User!A:D,4,0)</f>
        <v>이영자</v>
      </c>
      <c r="K7">
        <v>9</v>
      </c>
      <c r="L7">
        <v>7</v>
      </c>
      <c r="M7">
        <v>7</v>
      </c>
      <c r="N7">
        <v>6</v>
      </c>
      <c r="Q7" s="5" t="e">
        <f>VLOOKUP(A7,SaleList!E:G,3,0)</f>
        <v>#N/A</v>
      </c>
      <c r="R7" s="5" t="e">
        <f>VLOOKUP(A7,SaleList!E:H,4,0)</f>
        <v>#N/A</v>
      </c>
      <c r="S7" s="2" t="e">
        <f t="shared" si="2"/>
        <v>#N/A</v>
      </c>
    </row>
    <row r="8" spans="1:19">
      <c r="A8">
        <v>7</v>
      </c>
      <c r="B8" t="s">
        <v>157</v>
      </c>
      <c r="C8">
        <v>70000</v>
      </c>
      <c r="D8" s="2">
        <f>VLOOKUP(A8,SaleList!E:E,1,0)</f>
        <v>7</v>
      </c>
      <c r="E8" s="2">
        <f>VLOOKUP(A8,SaleList!E:F,2,0)</f>
        <v>25</v>
      </c>
      <c r="F8" s="2">
        <f t="shared" si="0"/>
        <v>52500</v>
      </c>
      <c r="G8" s="2">
        <f t="shared" si="1"/>
        <v>52500</v>
      </c>
      <c r="H8">
        <v>2</v>
      </c>
      <c r="I8">
        <v>18</v>
      </c>
      <c r="J8" s="3" t="str">
        <f>VLOOKUP(I8,User!A:D,4,0)</f>
        <v>김우진</v>
      </c>
      <c r="K8">
        <v>3</v>
      </c>
      <c r="L8">
        <v>0</v>
      </c>
      <c r="M8">
        <v>3</v>
      </c>
      <c r="N8">
        <v>10</v>
      </c>
      <c r="Q8" s="5">
        <f>VLOOKUP(A8,SaleList!E:G,3,0)</f>
        <v>45748</v>
      </c>
      <c r="R8" s="5">
        <f>VLOOKUP(A8,SaleList!E:H,4,0)</f>
        <v>45750</v>
      </c>
      <c r="S8" s="2">
        <f t="shared" si="2"/>
        <v>1</v>
      </c>
    </row>
    <row r="9" spans="1:19">
      <c r="A9">
        <v>8</v>
      </c>
      <c r="B9" t="s">
        <v>158</v>
      </c>
      <c r="C9">
        <v>100000</v>
      </c>
      <c r="D9" s="2">
        <f>VLOOKUP(A9,SaleList!E:E,1,0)</f>
        <v>8</v>
      </c>
      <c r="E9" s="2">
        <f>VLOOKUP(A9,SaleList!E:F,2,0)</f>
        <v>5</v>
      </c>
      <c r="F9" s="2">
        <f t="shared" si="0"/>
        <v>95000</v>
      </c>
      <c r="G9" s="2">
        <f t="shared" si="1"/>
        <v>95000</v>
      </c>
      <c r="H9">
        <v>2</v>
      </c>
      <c r="I9">
        <v>28</v>
      </c>
      <c r="J9" s="3" t="str">
        <f>VLOOKUP(I9,User!A:D,4,0)</f>
        <v>류진우</v>
      </c>
      <c r="K9">
        <v>5</v>
      </c>
      <c r="L9">
        <v>8</v>
      </c>
      <c r="M9">
        <v>6</v>
      </c>
      <c r="N9">
        <v>10</v>
      </c>
      <c r="Q9" s="5">
        <f>VLOOKUP(A9,SaleList!E:G,3,0)</f>
        <v>45749</v>
      </c>
      <c r="R9" s="5">
        <f>VLOOKUP(A9,SaleList!E:H,4,0)</f>
        <v>45751</v>
      </c>
      <c r="S9" s="2">
        <f t="shared" si="2"/>
        <v>1</v>
      </c>
    </row>
    <row r="10" spans="1:19">
      <c r="A10">
        <v>9</v>
      </c>
      <c r="B10" t="s">
        <v>159</v>
      </c>
      <c r="C10">
        <v>40000</v>
      </c>
      <c r="D10" s="2" t="e">
        <f>VLOOKUP(A10,SaleList!E:E,1,0)</f>
        <v>#N/A</v>
      </c>
      <c r="E10" s="2" t="e">
        <f>VLOOKUP(A10,SaleList!E:F,2,0)</f>
        <v>#N/A</v>
      </c>
      <c r="F10" s="2" t="e">
        <f t="shared" si="0"/>
        <v>#N/A</v>
      </c>
      <c r="G10" s="2">
        <f t="shared" si="1"/>
        <v>40000</v>
      </c>
      <c r="H10">
        <v>3</v>
      </c>
      <c r="I10">
        <v>9</v>
      </c>
      <c r="J10" s="3" t="str">
        <f>VLOOKUP(I10,User!A:D,4,0)</f>
        <v>엄지혜</v>
      </c>
      <c r="K10">
        <v>2</v>
      </c>
      <c r="L10">
        <v>4</v>
      </c>
      <c r="M10">
        <v>6</v>
      </c>
      <c r="N10">
        <v>6</v>
      </c>
      <c r="Q10" s="5" t="e">
        <f>VLOOKUP(A10,SaleList!E:G,3,0)</f>
        <v>#N/A</v>
      </c>
      <c r="R10" s="5" t="e">
        <f>VLOOKUP(A10,SaleList!E:H,4,0)</f>
        <v>#N/A</v>
      </c>
      <c r="S10" s="2" t="e">
        <f t="shared" si="2"/>
        <v>#N/A</v>
      </c>
    </row>
    <row r="11" spans="1:19">
      <c r="A11">
        <v>10</v>
      </c>
      <c r="B11" t="s">
        <v>160</v>
      </c>
      <c r="C11">
        <v>45000</v>
      </c>
      <c r="D11" s="2">
        <f>VLOOKUP(A11,SaleList!E:E,1,0)</f>
        <v>10</v>
      </c>
      <c r="E11" s="2">
        <f>VLOOKUP(A11,SaleList!E:F,2,0)</f>
        <v>15</v>
      </c>
      <c r="F11" s="2">
        <f t="shared" si="0"/>
        <v>38250</v>
      </c>
      <c r="G11" s="2">
        <f t="shared" si="1"/>
        <v>38250</v>
      </c>
      <c r="H11">
        <v>3</v>
      </c>
      <c r="I11">
        <v>11</v>
      </c>
      <c r="J11" s="3" t="str">
        <f>VLOOKUP(I11,User!A:D,4,0)</f>
        <v>고우진</v>
      </c>
      <c r="K11">
        <v>4</v>
      </c>
      <c r="L11">
        <v>10</v>
      </c>
      <c r="M11">
        <v>7</v>
      </c>
      <c r="N11">
        <v>8</v>
      </c>
      <c r="Q11" s="5">
        <f>VLOOKUP(A11,SaleList!E:G,3,0)</f>
        <v>45750</v>
      </c>
      <c r="R11" s="5">
        <f>VLOOKUP(A11,SaleList!E:H,4,0)</f>
        <v>45752</v>
      </c>
      <c r="S11" s="2">
        <f t="shared" si="2"/>
        <v>0</v>
      </c>
    </row>
    <row r="12" spans="1:19">
      <c r="A12">
        <v>11</v>
      </c>
      <c r="B12" t="s">
        <v>161</v>
      </c>
      <c r="C12">
        <v>10000</v>
      </c>
      <c r="D12" s="2" t="e">
        <f>VLOOKUP(A12,SaleList!E:E,1,0)</f>
        <v>#N/A</v>
      </c>
      <c r="E12" s="2" t="e">
        <f>VLOOKUP(A12,SaleList!E:F,2,0)</f>
        <v>#N/A</v>
      </c>
      <c r="F12" s="2" t="e">
        <f t="shared" si="0"/>
        <v>#N/A</v>
      </c>
      <c r="G12" s="2">
        <f t="shared" si="1"/>
        <v>10000</v>
      </c>
      <c r="H12">
        <v>3</v>
      </c>
      <c r="I12">
        <v>13</v>
      </c>
      <c r="J12" s="3" t="str">
        <f>VLOOKUP(I12,User!A:D,4,0)</f>
        <v>이현정</v>
      </c>
      <c r="K12">
        <v>7</v>
      </c>
      <c r="L12">
        <v>6</v>
      </c>
      <c r="M12">
        <v>9</v>
      </c>
      <c r="N12">
        <v>7</v>
      </c>
      <c r="Q12" s="5" t="e">
        <f>VLOOKUP(A12,SaleList!E:G,3,0)</f>
        <v>#N/A</v>
      </c>
      <c r="R12" s="5" t="e">
        <f>VLOOKUP(A12,SaleList!E:H,4,0)</f>
        <v>#N/A</v>
      </c>
      <c r="S12" s="2" t="e">
        <f t="shared" si="2"/>
        <v>#N/A</v>
      </c>
    </row>
    <row r="13" spans="1:19">
      <c r="A13">
        <v>12</v>
      </c>
      <c r="B13" t="s">
        <v>162</v>
      </c>
      <c r="C13">
        <v>40000</v>
      </c>
      <c r="D13" s="2" t="e">
        <f>VLOOKUP(A13,SaleList!E:E,1,0)</f>
        <v>#N/A</v>
      </c>
      <c r="E13" s="2" t="e">
        <f>VLOOKUP(A13,SaleList!E:F,2,0)</f>
        <v>#N/A</v>
      </c>
      <c r="F13" s="2" t="e">
        <f t="shared" si="0"/>
        <v>#N/A</v>
      </c>
      <c r="G13" s="2">
        <f t="shared" si="1"/>
        <v>40000</v>
      </c>
      <c r="H13">
        <v>3</v>
      </c>
      <c r="I13">
        <v>23</v>
      </c>
      <c r="J13" s="3" t="str">
        <f>VLOOKUP(I13,User!A:D,4,0)</f>
        <v>전예진</v>
      </c>
      <c r="K13">
        <v>6</v>
      </c>
      <c r="L13">
        <v>5</v>
      </c>
      <c r="M13">
        <v>1</v>
      </c>
      <c r="N13">
        <v>5</v>
      </c>
      <c r="Q13" s="5" t="e">
        <f>VLOOKUP(A13,SaleList!E:G,3,0)</f>
        <v>#N/A</v>
      </c>
      <c r="R13" s="5" t="e">
        <f>VLOOKUP(A13,SaleList!E:H,4,0)</f>
        <v>#N/A</v>
      </c>
      <c r="S13" s="2" t="e">
        <f t="shared" si="2"/>
        <v>#N/A</v>
      </c>
    </row>
    <row r="14" spans="1:19">
      <c r="A14">
        <v>13</v>
      </c>
      <c r="B14" t="s">
        <v>163</v>
      </c>
      <c r="C14">
        <v>50000</v>
      </c>
      <c r="D14" s="2" t="e">
        <f>VLOOKUP(A14,SaleList!E:E,1,0)</f>
        <v>#N/A</v>
      </c>
      <c r="E14" s="2" t="e">
        <f>VLOOKUP(A14,SaleList!E:F,2,0)</f>
        <v>#N/A</v>
      </c>
      <c r="F14" s="2" t="e">
        <f t="shared" si="0"/>
        <v>#N/A</v>
      </c>
      <c r="G14" s="2">
        <f t="shared" si="1"/>
        <v>50000</v>
      </c>
      <c r="H14">
        <v>4</v>
      </c>
      <c r="I14">
        <v>11</v>
      </c>
      <c r="J14" s="3" t="str">
        <f>VLOOKUP(I14,User!A:D,4,0)</f>
        <v>고우진</v>
      </c>
      <c r="K14">
        <v>8</v>
      </c>
      <c r="L14">
        <v>8</v>
      </c>
      <c r="M14">
        <v>9</v>
      </c>
      <c r="N14">
        <v>10</v>
      </c>
      <c r="Q14" s="5" t="e">
        <f>VLOOKUP(A14,SaleList!E:G,3,0)</f>
        <v>#N/A</v>
      </c>
      <c r="R14" s="5" t="e">
        <f>VLOOKUP(A14,SaleList!E:H,4,0)</f>
        <v>#N/A</v>
      </c>
      <c r="S14" s="2" t="e">
        <f t="shared" si="2"/>
        <v>#N/A</v>
      </c>
    </row>
    <row r="15" spans="1:19">
      <c r="A15">
        <v>14</v>
      </c>
      <c r="B15" t="s">
        <v>164</v>
      </c>
      <c r="C15">
        <v>75000</v>
      </c>
      <c r="D15" s="2" t="e">
        <f>VLOOKUP(A15,SaleList!E:E,1,0)</f>
        <v>#N/A</v>
      </c>
      <c r="E15" s="2" t="e">
        <f>VLOOKUP(A15,SaleList!E:F,2,0)</f>
        <v>#N/A</v>
      </c>
      <c r="F15" s="2" t="e">
        <f t="shared" si="0"/>
        <v>#N/A</v>
      </c>
      <c r="G15" s="2">
        <f t="shared" si="1"/>
        <v>75000</v>
      </c>
      <c r="H15">
        <v>4</v>
      </c>
      <c r="I15">
        <v>19</v>
      </c>
      <c r="J15" s="3" t="str">
        <f>VLOOKUP(I15,User!A:D,4,0)</f>
        <v>박정수</v>
      </c>
      <c r="K15">
        <v>8</v>
      </c>
      <c r="L15">
        <v>2</v>
      </c>
      <c r="M15">
        <v>6</v>
      </c>
      <c r="N15">
        <v>3</v>
      </c>
      <c r="Q15" s="5" t="e">
        <f>VLOOKUP(A15,SaleList!E:G,3,0)</f>
        <v>#N/A</v>
      </c>
      <c r="R15" s="5" t="e">
        <f>VLOOKUP(A15,SaleList!E:H,4,0)</f>
        <v>#N/A</v>
      </c>
      <c r="S15" s="2" t="e">
        <f t="shared" si="2"/>
        <v>#N/A</v>
      </c>
    </row>
    <row r="16" spans="1:19">
      <c r="A16">
        <v>15</v>
      </c>
      <c r="B16" t="s">
        <v>165</v>
      </c>
      <c r="C16">
        <v>45000</v>
      </c>
      <c r="D16" s="2">
        <f>VLOOKUP(A16,SaleList!E:E,1,0)</f>
        <v>15</v>
      </c>
      <c r="E16" s="2">
        <f>VLOOKUP(A16,SaleList!E:F,2,0)</f>
        <v>20</v>
      </c>
      <c r="F16" s="2">
        <f t="shared" si="0"/>
        <v>36000</v>
      </c>
      <c r="G16" s="2">
        <f t="shared" si="1"/>
        <v>36000</v>
      </c>
      <c r="H16">
        <v>4</v>
      </c>
      <c r="I16">
        <v>29</v>
      </c>
      <c r="J16" s="3" t="str">
        <f>VLOOKUP(I16,User!A:D,4,0)</f>
        <v>문민지</v>
      </c>
      <c r="K16">
        <v>10</v>
      </c>
      <c r="L16">
        <v>3</v>
      </c>
      <c r="M16">
        <v>0</v>
      </c>
      <c r="N16">
        <v>10</v>
      </c>
      <c r="Q16" s="5">
        <f>VLOOKUP(A16,SaleList!E:G,3,0)</f>
        <v>45751</v>
      </c>
      <c r="R16" s="5">
        <f>VLOOKUP(A16,SaleList!E:H,4,0)</f>
        <v>45753</v>
      </c>
      <c r="S16" s="2">
        <f t="shared" si="2"/>
        <v>0</v>
      </c>
    </row>
    <row r="17" spans="1:19">
      <c r="A17">
        <v>16</v>
      </c>
      <c r="B17" t="s">
        <v>166</v>
      </c>
      <c r="C17">
        <v>65000</v>
      </c>
      <c r="D17" s="2" t="e">
        <f>VLOOKUP(A17,SaleList!E:E,1,0)</f>
        <v>#N/A</v>
      </c>
      <c r="E17" s="2" t="e">
        <f>VLOOKUP(A17,SaleList!E:F,2,0)</f>
        <v>#N/A</v>
      </c>
      <c r="F17" s="2" t="e">
        <f t="shared" si="0"/>
        <v>#N/A</v>
      </c>
      <c r="G17" s="2">
        <f t="shared" si="1"/>
        <v>65000</v>
      </c>
      <c r="H17">
        <v>4</v>
      </c>
      <c r="I17">
        <v>22</v>
      </c>
      <c r="J17" s="3" t="str">
        <f>VLOOKUP(I17,User!A:D,4,0)</f>
        <v>손현우</v>
      </c>
      <c r="K17">
        <v>1</v>
      </c>
      <c r="L17">
        <v>9</v>
      </c>
      <c r="M17">
        <v>3</v>
      </c>
      <c r="N17">
        <v>2</v>
      </c>
      <c r="Q17" s="5" t="e">
        <f>VLOOKUP(A17,SaleList!E:G,3,0)</f>
        <v>#N/A</v>
      </c>
      <c r="R17" s="5" t="e">
        <f>VLOOKUP(A17,SaleList!E:H,4,0)</f>
        <v>#N/A</v>
      </c>
      <c r="S17" s="2" t="e">
        <f t="shared" si="2"/>
        <v>#N/A</v>
      </c>
    </row>
    <row r="18" spans="1:19">
      <c r="A18">
        <v>17</v>
      </c>
      <c r="B18" t="s">
        <v>167</v>
      </c>
      <c r="C18">
        <v>50000</v>
      </c>
      <c r="D18" s="2" t="e">
        <f>VLOOKUP(A18,SaleList!E:E,1,0)</f>
        <v>#N/A</v>
      </c>
      <c r="E18" s="2" t="e">
        <f>VLOOKUP(A18,SaleList!E:F,2,0)</f>
        <v>#N/A</v>
      </c>
      <c r="F18" s="2" t="e">
        <f t="shared" si="0"/>
        <v>#N/A</v>
      </c>
      <c r="G18" s="2">
        <f t="shared" si="1"/>
        <v>50000</v>
      </c>
      <c r="H18">
        <v>5</v>
      </c>
      <c r="I18">
        <v>22</v>
      </c>
      <c r="J18" s="3" t="str">
        <f>VLOOKUP(I18,User!A:D,4,0)</f>
        <v>손현우</v>
      </c>
      <c r="K18">
        <v>6</v>
      </c>
      <c r="L18">
        <v>7</v>
      </c>
      <c r="M18">
        <v>8</v>
      </c>
      <c r="N18">
        <v>9</v>
      </c>
      <c r="Q18" s="5" t="e">
        <f>VLOOKUP(A18,SaleList!E:G,3,0)</f>
        <v>#N/A</v>
      </c>
      <c r="R18" s="5" t="e">
        <f>VLOOKUP(A18,SaleList!E:H,4,0)</f>
        <v>#N/A</v>
      </c>
      <c r="S18" s="2" t="e">
        <f t="shared" si="2"/>
        <v>#N/A</v>
      </c>
    </row>
    <row r="19" spans="1:19">
      <c r="A19">
        <v>18</v>
      </c>
      <c r="B19" t="s">
        <v>168</v>
      </c>
      <c r="C19">
        <v>5000</v>
      </c>
      <c r="D19" s="2">
        <f>VLOOKUP(A19,SaleList!E:E,1,0)</f>
        <v>18</v>
      </c>
      <c r="E19" s="2">
        <f>VLOOKUP(A19,SaleList!E:F,2,0)</f>
        <v>30</v>
      </c>
      <c r="F19" s="2">
        <f t="shared" si="0"/>
        <v>3500</v>
      </c>
      <c r="G19" s="2">
        <f t="shared" si="1"/>
        <v>3500</v>
      </c>
      <c r="H19">
        <v>5</v>
      </c>
      <c r="I19">
        <v>4</v>
      </c>
      <c r="J19" s="3" t="str">
        <f>VLOOKUP(I19,User!A:D,4,0)</f>
        <v>윤예지</v>
      </c>
      <c r="K19">
        <v>7</v>
      </c>
      <c r="L19">
        <v>5</v>
      </c>
      <c r="M19">
        <v>4</v>
      </c>
      <c r="N19">
        <v>9</v>
      </c>
      <c r="Q19" s="5">
        <f>VLOOKUP(A19,SaleList!E:G,3,0)</f>
        <v>45752</v>
      </c>
      <c r="R19" s="5">
        <f>VLOOKUP(A19,SaleList!E:H,4,0)</f>
        <v>45754</v>
      </c>
      <c r="S19" s="2">
        <f t="shared" si="2"/>
        <v>0</v>
      </c>
    </row>
    <row r="20" spans="1:19">
      <c r="A20">
        <v>19</v>
      </c>
      <c r="B20" t="s">
        <v>169</v>
      </c>
      <c r="C20">
        <v>70000</v>
      </c>
      <c r="D20" s="2" t="e">
        <f>VLOOKUP(A20,SaleList!E:E,1,0)</f>
        <v>#N/A</v>
      </c>
      <c r="E20" s="2" t="e">
        <f>VLOOKUP(A20,SaleList!E:F,2,0)</f>
        <v>#N/A</v>
      </c>
      <c r="F20" s="2" t="e">
        <f t="shared" si="0"/>
        <v>#N/A</v>
      </c>
      <c r="G20" s="2">
        <f t="shared" si="1"/>
        <v>70000</v>
      </c>
      <c r="H20">
        <v>5</v>
      </c>
      <c r="I20">
        <v>2</v>
      </c>
      <c r="J20" s="3" t="str">
        <f>VLOOKUP(I20,User!A:D,4,0)</f>
        <v>이예은</v>
      </c>
      <c r="K20">
        <v>7</v>
      </c>
      <c r="L20">
        <v>3</v>
      </c>
      <c r="M20">
        <v>1</v>
      </c>
      <c r="N20">
        <v>3</v>
      </c>
      <c r="Q20" s="5" t="e">
        <f>VLOOKUP(A20,SaleList!E:G,3,0)</f>
        <v>#N/A</v>
      </c>
      <c r="R20" s="5" t="e">
        <f>VLOOKUP(A20,SaleList!E:H,4,0)</f>
        <v>#N/A</v>
      </c>
      <c r="S20" s="2" t="e">
        <f t="shared" si="2"/>
        <v>#N/A</v>
      </c>
    </row>
    <row r="21" spans="1:19">
      <c r="A21">
        <v>20</v>
      </c>
      <c r="B21" t="s">
        <v>170</v>
      </c>
      <c r="C21">
        <v>65000</v>
      </c>
      <c r="D21" s="2" t="e">
        <f>VLOOKUP(A21,SaleList!E:E,1,0)</f>
        <v>#N/A</v>
      </c>
      <c r="E21" s="2" t="e">
        <f>VLOOKUP(A21,SaleList!E:F,2,0)</f>
        <v>#N/A</v>
      </c>
      <c r="F21" s="2" t="e">
        <f t="shared" si="0"/>
        <v>#N/A</v>
      </c>
      <c r="G21" s="2">
        <f t="shared" si="1"/>
        <v>65000</v>
      </c>
      <c r="H21">
        <v>5</v>
      </c>
      <c r="I21">
        <v>18</v>
      </c>
      <c r="J21" s="3" t="str">
        <f>VLOOKUP(I21,User!A:D,4,0)</f>
        <v>김우진</v>
      </c>
      <c r="K21">
        <v>8</v>
      </c>
      <c r="L21">
        <v>4</v>
      </c>
      <c r="M21">
        <v>4</v>
      </c>
      <c r="N21">
        <v>2</v>
      </c>
      <c r="Q21" s="5" t="e">
        <f>VLOOKUP(A21,SaleList!E:G,3,0)</f>
        <v>#N/A</v>
      </c>
      <c r="R21" s="5" t="e">
        <f>VLOOKUP(A21,SaleList!E:H,4,0)</f>
        <v>#N/A</v>
      </c>
      <c r="S21" s="2" t="e">
        <f t="shared" si="2"/>
        <v>#N/A</v>
      </c>
    </row>
    <row r="22" spans="1:19">
      <c r="A22">
        <v>21</v>
      </c>
      <c r="B22" t="s">
        <v>171</v>
      </c>
      <c r="C22">
        <v>35000</v>
      </c>
      <c r="D22" s="2">
        <f>VLOOKUP(A22,SaleList!E:E,1,0)</f>
        <v>21</v>
      </c>
      <c r="E22" s="2">
        <f>VLOOKUP(A22,SaleList!E:F,2,0)</f>
        <v>35</v>
      </c>
      <c r="F22" s="2">
        <f t="shared" si="0"/>
        <v>22750</v>
      </c>
      <c r="G22" s="2">
        <f t="shared" si="1"/>
        <v>22750</v>
      </c>
      <c r="H22">
        <v>6</v>
      </c>
      <c r="I22">
        <v>20</v>
      </c>
      <c r="J22" s="3" t="str">
        <f>VLOOKUP(I22,User!A:D,4,0)</f>
        <v>이현준</v>
      </c>
      <c r="K22">
        <v>1</v>
      </c>
      <c r="L22">
        <v>5</v>
      </c>
      <c r="M22">
        <v>5</v>
      </c>
      <c r="N22">
        <v>5</v>
      </c>
      <c r="Q22" s="5">
        <f>VLOOKUP(A22,SaleList!E:G,3,0)</f>
        <v>45753</v>
      </c>
      <c r="R22" s="5">
        <f>VLOOKUP(A22,SaleList!E:H,4,0)</f>
        <v>45754</v>
      </c>
      <c r="S22" s="2">
        <f t="shared" si="2"/>
        <v>0</v>
      </c>
    </row>
    <row r="23" spans="1:19">
      <c r="A23">
        <v>22</v>
      </c>
      <c r="B23" t="s">
        <v>172</v>
      </c>
      <c r="C23">
        <v>5000</v>
      </c>
      <c r="D23" s="2" t="e">
        <f>VLOOKUP(A23,SaleList!E:E,1,0)</f>
        <v>#N/A</v>
      </c>
      <c r="E23" s="2" t="e">
        <f>VLOOKUP(A23,SaleList!E:F,2,0)</f>
        <v>#N/A</v>
      </c>
      <c r="F23" s="2" t="e">
        <f t="shared" si="0"/>
        <v>#N/A</v>
      </c>
      <c r="G23" s="2">
        <f t="shared" si="1"/>
        <v>5000</v>
      </c>
      <c r="H23">
        <v>6</v>
      </c>
      <c r="I23">
        <v>15</v>
      </c>
      <c r="J23" s="3" t="str">
        <f>VLOOKUP(I23,User!A:D,4,0)</f>
        <v>문영길</v>
      </c>
      <c r="K23">
        <v>5</v>
      </c>
      <c r="L23">
        <v>3</v>
      </c>
      <c r="M23">
        <v>0</v>
      </c>
      <c r="N23">
        <v>10</v>
      </c>
      <c r="Q23" s="5" t="e">
        <f>VLOOKUP(A23,SaleList!E:G,3,0)</f>
        <v>#N/A</v>
      </c>
      <c r="R23" s="5" t="e">
        <f>VLOOKUP(A23,SaleList!E:H,4,0)</f>
        <v>#N/A</v>
      </c>
      <c r="S23" s="2" t="e">
        <f t="shared" si="2"/>
        <v>#N/A</v>
      </c>
    </row>
    <row r="24" spans="1:19">
      <c r="A24">
        <v>23</v>
      </c>
      <c r="B24" t="s">
        <v>173</v>
      </c>
      <c r="C24">
        <v>90000</v>
      </c>
      <c r="D24" s="2" t="e">
        <f>VLOOKUP(A24,SaleList!E:E,1,0)</f>
        <v>#N/A</v>
      </c>
      <c r="E24" s="2" t="e">
        <f>VLOOKUP(A24,SaleList!E:F,2,0)</f>
        <v>#N/A</v>
      </c>
      <c r="F24" s="2" t="e">
        <f t="shared" si="0"/>
        <v>#N/A</v>
      </c>
      <c r="G24" s="2">
        <f t="shared" si="1"/>
        <v>90000</v>
      </c>
      <c r="H24">
        <v>6</v>
      </c>
      <c r="I24">
        <v>3</v>
      </c>
      <c r="J24" s="3" t="str">
        <f>VLOOKUP(I24,User!A:D,4,0)</f>
        <v>강수빈</v>
      </c>
      <c r="K24">
        <v>9</v>
      </c>
      <c r="L24">
        <v>3</v>
      </c>
      <c r="M24">
        <v>3</v>
      </c>
      <c r="N24">
        <v>4</v>
      </c>
      <c r="Q24" s="5" t="e">
        <f>VLOOKUP(A24,SaleList!E:G,3,0)</f>
        <v>#N/A</v>
      </c>
      <c r="R24" s="5" t="e">
        <f>VLOOKUP(A24,SaleList!E:H,4,0)</f>
        <v>#N/A</v>
      </c>
      <c r="S24" s="2" t="e">
        <f t="shared" si="2"/>
        <v>#N/A</v>
      </c>
    </row>
    <row r="25" spans="1:19">
      <c r="A25">
        <v>24</v>
      </c>
      <c r="B25" t="s">
        <v>174</v>
      </c>
      <c r="C25">
        <v>30000</v>
      </c>
      <c r="D25" s="2" t="e">
        <f>VLOOKUP(A25,SaleList!E:E,1,0)</f>
        <v>#N/A</v>
      </c>
      <c r="E25" s="2" t="e">
        <f>VLOOKUP(A25,SaleList!E:F,2,0)</f>
        <v>#N/A</v>
      </c>
      <c r="F25" s="2" t="e">
        <f t="shared" si="0"/>
        <v>#N/A</v>
      </c>
      <c r="G25" s="2">
        <f t="shared" si="1"/>
        <v>30000</v>
      </c>
      <c r="H25">
        <v>6</v>
      </c>
      <c r="I25">
        <v>25</v>
      </c>
      <c r="J25" s="3" t="str">
        <f>VLOOKUP(I25,User!A:D,4,0)</f>
        <v>김영미</v>
      </c>
      <c r="K25">
        <v>8</v>
      </c>
      <c r="L25">
        <v>7</v>
      </c>
      <c r="M25">
        <v>10</v>
      </c>
      <c r="N25">
        <v>1</v>
      </c>
      <c r="Q25" s="5" t="e">
        <f>VLOOKUP(A25,SaleList!E:G,3,0)</f>
        <v>#N/A</v>
      </c>
      <c r="R25" s="5" t="e">
        <f>VLOOKUP(A25,SaleList!E:H,4,0)</f>
        <v>#N/A</v>
      </c>
      <c r="S25" s="2" t="e">
        <f t="shared" si="2"/>
        <v>#N/A</v>
      </c>
    </row>
    <row r="26" spans="1:19">
      <c r="A26">
        <v>25</v>
      </c>
      <c r="B26" t="s">
        <v>175</v>
      </c>
      <c r="C26">
        <v>90000</v>
      </c>
      <c r="D26" s="2">
        <f>VLOOKUP(A26,SaleList!E:E,1,0)</f>
        <v>25</v>
      </c>
      <c r="E26" s="2">
        <f>VLOOKUP(A26,SaleList!E:F,2,0)</f>
        <v>10</v>
      </c>
      <c r="F26" s="2">
        <f t="shared" si="0"/>
        <v>81000</v>
      </c>
      <c r="G26" s="2">
        <f t="shared" si="1"/>
        <v>81000</v>
      </c>
      <c r="H26">
        <v>7</v>
      </c>
      <c r="I26">
        <v>19</v>
      </c>
      <c r="J26" s="3" t="str">
        <f>VLOOKUP(I26,User!A:D,4,0)</f>
        <v>박정수</v>
      </c>
      <c r="K26">
        <v>9</v>
      </c>
      <c r="L26">
        <v>9</v>
      </c>
      <c r="M26">
        <v>1</v>
      </c>
      <c r="N26">
        <v>5</v>
      </c>
      <c r="Q26" s="5">
        <f>VLOOKUP(A26,SaleList!E:G,3,0)</f>
        <v>45747</v>
      </c>
      <c r="R26" s="5">
        <f>VLOOKUP(A26,SaleList!E:H,4,0)</f>
        <v>45751</v>
      </c>
      <c r="S26" s="2">
        <f t="shared" si="2"/>
        <v>1</v>
      </c>
    </row>
    <row r="27" spans="1:19">
      <c r="A27">
        <v>26</v>
      </c>
      <c r="B27" t="s">
        <v>176</v>
      </c>
      <c r="C27">
        <v>95000</v>
      </c>
      <c r="D27" s="2" t="e">
        <f>VLOOKUP(A27,SaleList!E:E,1,0)</f>
        <v>#N/A</v>
      </c>
      <c r="E27" s="2" t="e">
        <f>VLOOKUP(A27,SaleList!E:F,2,0)</f>
        <v>#N/A</v>
      </c>
      <c r="F27" s="2" t="e">
        <f t="shared" si="0"/>
        <v>#N/A</v>
      </c>
      <c r="G27" s="2">
        <f t="shared" si="1"/>
        <v>95000</v>
      </c>
      <c r="H27">
        <v>7</v>
      </c>
      <c r="I27">
        <v>26</v>
      </c>
      <c r="J27" s="3" t="str">
        <f>VLOOKUP(I27,User!A:D,4,0)</f>
        <v>김은지</v>
      </c>
      <c r="K27">
        <v>4</v>
      </c>
      <c r="L27">
        <v>9</v>
      </c>
      <c r="M27">
        <v>4</v>
      </c>
      <c r="N27">
        <v>8</v>
      </c>
      <c r="Q27" s="5" t="e">
        <f>VLOOKUP(A27,SaleList!E:G,3,0)</f>
        <v>#N/A</v>
      </c>
      <c r="R27" s="5" t="e">
        <f>VLOOKUP(A27,SaleList!E:H,4,0)</f>
        <v>#N/A</v>
      </c>
      <c r="S27" s="2" t="e">
        <f t="shared" si="2"/>
        <v>#N/A</v>
      </c>
    </row>
    <row r="28" spans="1:19">
      <c r="A28">
        <v>27</v>
      </c>
      <c r="B28" t="s">
        <v>177</v>
      </c>
      <c r="C28">
        <v>80000</v>
      </c>
      <c r="D28" s="2" t="e">
        <f>VLOOKUP(A28,SaleList!E:E,1,0)</f>
        <v>#N/A</v>
      </c>
      <c r="E28" s="2" t="e">
        <f>VLOOKUP(A28,SaleList!E:F,2,0)</f>
        <v>#N/A</v>
      </c>
      <c r="F28" s="2" t="e">
        <f t="shared" si="0"/>
        <v>#N/A</v>
      </c>
      <c r="G28" s="2">
        <f t="shared" si="1"/>
        <v>80000</v>
      </c>
      <c r="H28">
        <v>7</v>
      </c>
      <c r="I28">
        <v>13</v>
      </c>
      <c r="J28" s="3" t="str">
        <f>VLOOKUP(I28,User!A:D,4,0)</f>
        <v>이현정</v>
      </c>
      <c r="K28">
        <v>3</v>
      </c>
      <c r="L28">
        <v>9</v>
      </c>
      <c r="M28">
        <v>4</v>
      </c>
      <c r="N28">
        <v>3</v>
      </c>
      <c r="Q28" s="5" t="e">
        <f>VLOOKUP(A28,SaleList!E:G,3,0)</f>
        <v>#N/A</v>
      </c>
      <c r="R28" s="5" t="e">
        <f>VLOOKUP(A28,SaleList!E:H,4,0)</f>
        <v>#N/A</v>
      </c>
      <c r="S28" s="2" t="e">
        <f t="shared" si="2"/>
        <v>#N/A</v>
      </c>
    </row>
    <row r="29" spans="1:19">
      <c r="A29">
        <v>28</v>
      </c>
      <c r="B29" t="s">
        <v>178</v>
      </c>
      <c r="C29">
        <v>80000</v>
      </c>
      <c r="D29" s="2" t="e">
        <f>VLOOKUP(A29,SaleList!E:E,1,0)</f>
        <v>#N/A</v>
      </c>
      <c r="E29" s="2" t="e">
        <f>VLOOKUP(A29,SaleList!E:F,2,0)</f>
        <v>#N/A</v>
      </c>
      <c r="F29" s="2" t="e">
        <f t="shared" si="0"/>
        <v>#N/A</v>
      </c>
      <c r="G29" s="2">
        <f t="shared" si="1"/>
        <v>80000</v>
      </c>
      <c r="H29">
        <v>7</v>
      </c>
      <c r="I29">
        <v>10</v>
      </c>
      <c r="J29" s="3" t="str">
        <f>VLOOKUP(I29,User!A:D,4,0)</f>
        <v>김지연</v>
      </c>
      <c r="K29">
        <v>0</v>
      </c>
      <c r="L29">
        <v>7</v>
      </c>
      <c r="M29">
        <v>4</v>
      </c>
      <c r="N29">
        <v>5</v>
      </c>
      <c r="Q29" s="5" t="e">
        <f>VLOOKUP(A29,SaleList!E:G,3,0)</f>
        <v>#N/A</v>
      </c>
      <c r="R29" s="5" t="e">
        <f>VLOOKUP(A29,SaleList!E:H,4,0)</f>
        <v>#N/A</v>
      </c>
      <c r="S29" s="2" t="e">
        <f t="shared" si="2"/>
        <v>#N/A</v>
      </c>
    </row>
    <row r="30" spans="1:19">
      <c r="A30">
        <v>29</v>
      </c>
      <c r="B30" t="s">
        <v>179</v>
      </c>
      <c r="C30">
        <v>50000</v>
      </c>
      <c r="D30" s="2" t="e">
        <f>VLOOKUP(A30,SaleList!E:E,1,0)</f>
        <v>#N/A</v>
      </c>
      <c r="E30" s="2" t="e">
        <f>VLOOKUP(A30,SaleList!E:F,2,0)</f>
        <v>#N/A</v>
      </c>
      <c r="F30" s="2" t="e">
        <f t="shared" si="0"/>
        <v>#N/A</v>
      </c>
      <c r="G30" s="2">
        <f t="shared" si="1"/>
        <v>50000</v>
      </c>
      <c r="H30">
        <v>8</v>
      </c>
      <c r="I30">
        <v>16</v>
      </c>
      <c r="J30" s="3" t="str">
        <f>VLOOKUP(I30,User!A:D,4,0)</f>
        <v>우정식</v>
      </c>
      <c r="K30">
        <v>3</v>
      </c>
      <c r="L30">
        <v>3</v>
      </c>
      <c r="M30">
        <v>0</v>
      </c>
      <c r="N30">
        <v>8</v>
      </c>
      <c r="Q30" s="5" t="e">
        <f>VLOOKUP(A30,SaleList!E:G,3,0)</f>
        <v>#N/A</v>
      </c>
      <c r="R30" s="5" t="e">
        <f>VLOOKUP(A30,SaleList!E:H,4,0)</f>
        <v>#N/A</v>
      </c>
      <c r="S30" s="2" t="e">
        <f t="shared" si="2"/>
        <v>#N/A</v>
      </c>
    </row>
    <row r="31" spans="1:19">
      <c r="A31">
        <v>30</v>
      </c>
      <c r="B31" t="s">
        <v>180</v>
      </c>
      <c r="C31">
        <v>30000</v>
      </c>
      <c r="D31" s="2" t="e">
        <f>VLOOKUP(A31,SaleList!E:E,1,0)</f>
        <v>#N/A</v>
      </c>
      <c r="E31" s="2" t="e">
        <f>VLOOKUP(A31,SaleList!E:F,2,0)</f>
        <v>#N/A</v>
      </c>
      <c r="F31" s="2" t="e">
        <f t="shared" si="0"/>
        <v>#N/A</v>
      </c>
      <c r="G31" s="2">
        <f t="shared" si="1"/>
        <v>30000</v>
      </c>
      <c r="H31">
        <v>8</v>
      </c>
      <c r="I31">
        <v>17</v>
      </c>
      <c r="J31" s="3" t="str">
        <f>VLOOKUP(I31,User!A:D,4,0)</f>
        <v>김준서</v>
      </c>
      <c r="K31">
        <v>5</v>
      </c>
      <c r="L31">
        <v>10</v>
      </c>
      <c r="M31">
        <v>0</v>
      </c>
      <c r="N31">
        <v>4</v>
      </c>
      <c r="Q31" s="5" t="e">
        <f>VLOOKUP(A31,SaleList!E:G,3,0)</f>
        <v>#N/A</v>
      </c>
      <c r="R31" s="5" t="e">
        <f>VLOOKUP(A31,SaleList!E:H,4,0)</f>
        <v>#N/A</v>
      </c>
      <c r="S31" s="2" t="e">
        <f t="shared" si="2"/>
        <v>#N/A</v>
      </c>
    </row>
    <row r="32" spans="1:19">
      <c r="A32">
        <v>31</v>
      </c>
      <c r="B32" t="s">
        <v>181</v>
      </c>
      <c r="C32">
        <v>80000</v>
      </c>
      <c r="D32" s="2" t="e">
        <f>VLOOKUP(A32,SaleList!E:E,1,0)</f>
        <v>#N/A</v>
      </c>
      <c r="E32" s="2" t="e">
        <f>VLOOKUP(A32,SaleList!E:F,2,0)</f>
        <v>#N/A</v>
      </c>
      <c r="F32" s="2" t="e">
        <f t="shared" si="0"/>
        <v>#N/A</v>
      </c>
      <c r="G32" s="2">
        <f t="shared" si="1"/>
        <v>80000</v>
      </c>
      <c r="H32">
        <v>8</v>
      </c>
      <c r="I32">
        <v>16</v>
      </c>
      <c r="J32" s="3" t="str">
        <f>VLOOKUP(I32,User!A:D,4,0)</f>
        <v>우정식</v>
      </c>
      <c r="K32">
        <v>0</v>
      </c>
      <c r="L32">
        <v>2</v>
      </c>
      <c r="M32">
        <v>10</v>
      </c>
      <c r="N32">
        <v>10</v>
      </c>
      <c r="Q32" s="5" t="e">
        <f>VLOOKUP(A32,SaleList!E:G,3,0)</f>
        <v>#N/A</v>
      </c>
      <c r="R32" s="5" t="e">
        <f>VLOOKUP(A32,SaleList!E:H,4,0)</f>
        <v>#N/A</v>
      </c>
      <c r="S32" s="2" t="e">
        <f t="shared" si="2"/>
        <v>#N/A</v>
      </c>
    </row>
    <row r="33" spans="1:19">
      <c r="A33">
        <v>32</v>
      </c>
      <c r="B33" t="s">
        <v>182</v>
      </c>
      <c r="C33">
        <v>85000</v>
      </c>
      <c r="D33" s="2" t="e">
        <f>VLOOKUP(A33,SaleList!E:E,1,0)</f>
        <v>#N/A</v>
      </c>
      <c r="E33" s="2" t="e">
        <f>VLOOKUP(A33,SaleList!E:F,2,0)</f>
        <v>#N/A</v>
      </c>
      <c r="F33" s="2" t="e">
        <f t="shared" si="0"/>
        <v>#N/A</v>
      </c>
      <c r="G33" s="2">
        <f t="shared" si="1"/>
        <v>85000</v>
      </c>
      <c r="H33">
        <v>8</v>
      </c>
      <c r="I33">
        <v>25</v>
      </c>
      <c r="J33" s="3" t="str">
        <f>VLOOKUP(I33,User!A:D,4,0)</f>
        <v>김영미</v>
      </c>
      <c r="K33">
        <v>2</v>
      </c>
      <c r="L33">
        <v>3</v>
      </c>
      <c r="M33">
        <v>8</v>
      </c>
      <c r="N33">
        <v>1</v>
      </c>
      <c r="Q33" s="5" t="e">
        <f>VLOOKUP(A33,SaleList!E:G,3,0)</f>
        <v>#N/A</v>
      </c>
      <c r="R33" s="5" t="e">
        <f>VLOOKUP(A33,SaleList!E:H,4,0)</f>
        <v>#N/A</v>
      </c>
      <c r="S33" s="2" t="e">
        <f t="shared" si="2"/>
        <v>#N/A</v>
      </c>
    </row>
    <row r="34" spans="1:19">
      <c r="A34">
        <v>33</v>
      </c>
      <c r="B34" t="s">
        <v>183</v>
      </c>
      <c r="C34">
        <v>80000</v>
      </c>
      <c r="D34" s="2">
        <f>VLOOKUP(A34,SaleList!E:E,1,0)</f>
        <v>33</v>
      </c>
      <c r="E34" s="2">
        <f>VLOOKUP(A34,SaleList!E:F,2,0)</f>
        <v>40</v>
      </c>
      <c r="F34" s="2">
        <f t="shared" si="0"/>
        <v>48000</v>
      </c>
      <c r="G34" s="2">
        <f t="shared" si="1"/>
        <v>48000</v>
      </c>
      <c r="H34">
        <v>9</v>
      </c>
      <c r="I34">
        <v>22</v>
      </c>
      <c r="J34" s="3" t="str">
        <f>VLOOKUP(I34,User!A:D,4,0)</f>
        <v>손현우</v>
      </c>
      <c r="K34">
        <v>3</v>
      </c>
      <c r="L34">
        <v>9</v>
      </c>
      <c r="M34">
        <v>4</v>
      </c>
      <c r="N34">
        <v>7</v>
      </c>
      <c r="Q34" s="5">
        <f>VLOOKUP(A34,SaleList!E:G,3,0)</f>
        <v>45748</v>
      </c>
      <c r="R34" s="5">
        <f>VLOOKUP(A34,SaleList!E:H,4,0)</f>
        <v>45751</v>
      </c>
      <c r="S34" s="2">
        <f t="shared" si="2"/>
        <v>1</v>
      </c>
    </row>
    <row r="35" spans="1:19">
      <c r="A35">
        <v>34</v>
      </c>
      <c r="B35" t="s">
        <v>184</v>
      </c>
      <c r="C35">
        <v>55000</v>
      </c>
      <c r="D35" s="2" t="e">
        <f>VLOOKUP(A35,SaleList!E:E,1,0)</f>
        <v>#N/A</v>
      </c>
      <c r="E35" s="2" t="e">
        <f>VLOOKUP(A35,SaleList!E:F,2,0)</f>
        <v>#N/A</v>
      </c>
      <c r="F35" s="2" t="e">
        <f t="shared" si="0"/>
        <v>#N/A</v>
      </c>
      <c r="G35" s="2">
        <f t="shared" si="1"/>
        <v>55000</v>
      </c>
      <c r="H35">
        <v>9</v>
      </c>
      <c r="I35">
        <v>22</v>
      </c>
      <c r="J35" s="3" t="str">
        <f>VLOOKUP(I35,User!A:D,4,0)</f>
        <v>손현우</v>
      </c>
      <c r="K35">
        <v>8</v>
      </c>
      <c r="L35">
        <v>10</v>
      </c>
      <c r="M35">
        <v>6</v>
      </c>
      <c r="N35">
        <v>8</v>
      </c>
      <c r="Q35" s="5" t="e">
        <f>VLOOKUP(A35,SaleList!E:G,3,0)</f>
        <v>#N/A</v>
      </c>
      <c r="R35" s="5" t="e">
        <f>VLOOKUP(A35,SaleList!E:H,4,0)</f>
        <v>#N/A</v>
      </c>
      <c r="S35" s="2" t="e">
        <f t="shared" si="2"/>
        <v>#N/A</v>
      </c>
    </row>
    <row r="36" spans="1:19">
      <c r="A36">
        <v>35</v>
      </c>
      <c r="B36" t="s">
        <v>185</v>
      </c>
      <c r="C36">
        <v>75000</v>
      </c>
      <c r="D36" s="2" t="e">
        <f>VLOOKUP(A36,SaleList!E:E,1,0)</f>
        <v>#N/A</v>
      </c>
      <c r="E36" s="2" t="e">
        <f>VLOOKUP(A36,SaleList!E:F,2,0)</f>
        <v>#N/A</v>
      </c>
      <c r="F36" s="2" t="e">
        <f t="shared" si="0"/>
        <v>#N/A</v>
      </c>
      <c r="G36" s="2">
        <f t="shared" si="1"/>
        <v>75000</v>
      </c>
      <c r="H36">
        <v>9</v>
      </c>
      <c r="I36">
        <v>11</v>
      </c>
      <c r="J36" s="3" t="str">
        <f>VLOOKUP(I36,User!A:D,4,0)</f>
        <v>고우진</v>
      </c>
      <c r="K36">
        <v>1</v>
      </c>
      <c r="L36">
        <v>7</v>
      </c>
      <c r="M36">
        <v>9</v>
      </c>
      <c r="N36">
        <v>1</v>
      </c>
      <c r="Q36" s="5" t="e">
        <f>VLOOKUP(A36,SaleList!E:G,3,0)</f>
        <v>#N/A</v>
      </c>
      <c r="R36" s="5" t="e">
        <f>VLOOKUP(A36,SaleList!E:H,4,0)</f>
        <v>#N/A</v>
      </c>
      <c r="S36" s="2" t="e">
        <f t="shared" si="2"/>
        <v>#N/A</v>
      </c>
    </row>
    <row r="37" spans="1:19">
      <c r="A37">
        <v>36</v>
      </c>
      <c r="B37" t="s">
        <v>186</v>
      </c>
      <c r="C37">
        <v>35000</v>
      </c>
      <c r="D37" s="2" t="e">
        <f>VLOOKUP(A37,SaleList!E:E,1,0)</f>
        <v>#N/A</v>
      </c>
      <c r="E37" s="2" t="e">
        <f>VLOOKUP(A37,SaleList!E:F,2,0)</f>
        <v>#N/A</v>
      </c>
      <c r="F37" s="2" t="e">
        <f t="shared" si="0"/>
        <v>#N/A</v>
      </c>
      <c r="G37" s="2">
        <f t="shared" si="1"/>
        <v>35000</v>
      </c>
      <c r="H37">
        <v>9</v>
      </c>
      <c r="I37">
        <v>1</v>
      </c>
      <c r="J37" s="3" t="str">
        <f>VLOOKUP(I37,User!A:D,4,0)</f>
        <v>손준서</v>
      </c>
      <c r="K37">
        <v>3</v>
      </c>
      <c r="L37">
        <v>7</v>
      </c>
      <c r="M37">
        <v>3</v>
      </c>
      <c r="N37">
        <v>2</v>
      </c>
      <c r="Q37" s="5" t="e">
        <f>VLOOKUP(A37,SaleList!E:G,3,0)</f>
        <v>#N/A</v>
      </c>
      <c r="R37" s="5" t="e">
        <f>VLOOKUP(A37,SaleList!E:H,4,0)</f>
        <v>#N/A</v>
      </c>
      <c r="S37" s="2" t="e">
        <f t="shared" si="2"/>
        <v>#N/A</v>
      </c>
    </row>
    <row r="38" spans="1:19">
      <c r="A38">
        <v>37</v>
      </c>
      <c r="B38" t="s">
        <v>187</v>
      </c>
      <c r="C38">
        <v>50000</v>
      </c>
      <c r="D38" s="2">
        <f>VLOOKUP(A38,SaleList!E:E,1,0)</f>
        <v>37</v>
      </c>
      <c r="E38" s="2">
        <f>VLOOKUP(A38,SaleList!E:F,2,0)</f>
        <v>45</v>
      </c>
      <c r="F38" s="2">
        <f t="shared" si="0"/>
        <v>27500.000000000004</v>
      </c>
      <c r="G38" s="2">
        <f t="shared" si="1"/>
        <v>27500.000000000004</v>
      </c>
      <c r="H38">
        <v>10</v>
      </c>
      <c r="I38">
        <v>22</v>
      </c>
      <c r="J38" s="3" t="str">
        <f>VLOOKUP(I38,User!A:D,4,0)</f>
        <v>손현우</v>
      </c>
      <c r="K38">
        <v>3</v>
      </c>
      <c r="L38">
        <v>5</v>
      </c>
      <c r="M38">
        <v>3</v>
      </c>
      <c r="N38">
        <v>1</v>
      </c>
      <c r="Q38" s="5">
        <f>VLOOKUP(A38,SaleList!E:G,3,0)</f>
        <v>45749</v>
      </c>
      <c r="R38" s="5">
        <f>VLOOKUP(A38,SaleList!E:H,4,0)</f>
        <v>45752</v>
      </c>
      <c r="S38" s="2">
        <f t="shared" si="2"/>
        <v>1</v>
      </c>
    </row>
    <row r="39" spans="1:19">
      <c r="A39">
        <v>38</v>
      </c>
      <c r="B39" t="s">
        <v>188</v>
      </c>
      <c r="C39">
        <v>85000</v>
      </c>
      <c r="D39" s="2" t="e">
        <f>VLOOKUP(A39,SaleList!E:E,1,0)</f>
        <v>#N/A</v>
      </c>
      <c r="E39" s="2" t="e">
        <f>VLOOKUP(A39,SaleList!E:F,2,0)</f>
        <v>#N/A</v>
      </c>
      <c r="F39" s="2" t="e">
        <f t="shared" si="0"/>
        <v>#N/A</v>
      </c>
      <c r="G39" s="2">
        <f t="shared" si="1"/>
        <v>85000</v>
      </c>
      <c r="H39">
        <v>10</v>
      </c>
      <c r="I39">
        <v>12</v>
      </c>
      <c r="J39" s="3" t="str">
        <f>VLOOKUP(I39,User!A:D,4,0)</f>
        <v>이상현</v>
      </c>
      <c r="K39">
        <v>3</v>
      </c>
      <c r="L39">
        <v>1</v>
      </c>
      <c r="M39">
        <v>2</v>
      </c>
      <c r="N39">
        <v>1</v>
      </c>
      <c r="Q39" s="5" t="e">
        <f>VLOOKUP(A39,SaleList!E:G,3,0)</f>
        <v>#N/A</v>
      </c>
      <c r="R39" s="5" t="e">
        <f>VLOOKUP(A39,SaleList!E:H,4,0)</f>
        <v>#N/A</v>
      </c>
      <c r="S39" s="2" t="e">
        <f t="shared" si="2"/>
        <v>#N/A</v>
      </c>
    </row>
    <row r="40" spans="1:19">
      <c r="A40">
        <v>39</v>
      </c>
      <c r="B40" t="s">
        <v>189</v>
      </c>
      <c r="C40">
        <v>90000</v>
      </c>
      <c r="D40" s="2" t="e">
        <f>VLOOKUP(A40,SaleList!E:E,1,0)</f>
        <v>#N/A</v>
      </c>
      <c r="E40" s="2" t="e">
        <f>VLOOKUP(A40,SaleList!E:F,2,0)</f>
        <v>#N/A</v>
      </c>
      <c r="F40" s="2" t="e">
        <f t="shared" si="0"/>
        <v>#N/A</v>
      </c>
      <c r="G40" s="2">
        <f t="shared" si="1"/>
        <v>90000</v>
      </c>
      <c r="H40">
        <v>10</v>
      </c>
      <c r="I40">
        <v>16</v>
      </c>
      <c r="J40" s="3" t="str">
        <f>VLOOKUP(I40,User!A:D,4,0)</f>
        <v>우정식</v>
      </c>
      <c r="K40">
        <v>7</v>
      </c>
      <c r="L40">
        <v>2</v>
      </c>
      <c r="M40">
        <v>1</v>
      </c>
      <c r="N40">
        <v>7</v>
      </c>
      <c r="Q40" s="5" t="e">
        <f>VLOOKUP(A40,SaleList!E:G,3,0)</f>
        <v>#N/A</v>
      </c>
      <c r="R40" s="5" t="e">
        <f>VLOOKUP(A40,SaleList!E:H,4,0)</f>
        <v>#N/A</v>
      </c>
      <c r="S40" s="2" t="e">
        <f t="shared" si="2"/>
        <v>#N/A</v>
      </c>
    </row>
    <row r="41" spans="1:19">
      <c r="A41">
        <v>40</v>
      </c>
      <c r="B41" t="s">
        <v>190</v>
      </c>
      <c r="C41">
        <v>90000</v>
      </c>
      <c r="D41" s="2" t="e">
        <f>VLOOKUP(A41,SaleList!E:E,1,0)</f>
        <v>#N/A</v>
      </c>
      <c r="E41" s="2" t="e">
        <f>VLOOKUP(A41,SaleList!E:F,2,0)</f>
        <v>#N/A</v>
      </c>
      <c r="F41" s="2" t="e">
        <f t="shared" si="0"/>
        <v>#N/A</v>
      </c>
      <c r="G41" s="2">
        <f t="shared" si="1"/>
        <v>90000</v>
      </c>
      <c r="H41">
        <v>10</v>
      </c>
      <c r="I41">
        <v>30</v>
      </c>
      <c r="J41" s="3" t="str">
        <f>VLOOKUP(I41,User!A:D,4,0)</f>
        <v>박성민</v>
      </c>
      <c r="K41">
        <v>0</v>
      </c>
      <c r="L41">
        <v>2</v>
      </c>
      <c r="M41">
        <v>10</v>
      </c>
      <c r="N41">
        <v>5</v>
      </c>
      <c r="Q41" s="5" t="e">
        <f>VLOOKUP(A41,SaleList!E:G,3,0)</f>
        <v>#N/A</v>
      </c>
      <c r="R41" s="5" t="e">
        <f>VLOOKUP(A41,SaleList!E:H,4,0)</f>
        <v>#N/A</v>
      </c>
      <c r="S41" s="2" t="e">
        <f t="shared" si="2"/>
        <v>#N/A</v>
      </c>
    </row>
    <row r="42" spans="1:19">
      <c r="A42">
        <v>41</v>
      </c>
      <c r="B42" t="s">
        <v>191</v>
      </c>
      <c r="C42">
        <v>85000</v>
      </c>
      <c r="D42" s="2" t="e">
        <f>VLOOKUP(A42,SaleList!E:E,1,0)</f>
        <v>#N/A</v>
      </c>
      <c r="E42" s="2" t="e">
        <f>VLOOKUP(A42,SaleList!E:F,2,0)</f>
        <v>#N/A</v>
      </c>
      <c r="F42" s="2" t="e">
        <f t="shared" si="0"/>
        <v>#N/A</v>
      </c>
      <c r="G42" s="2">
        <f t="shared" si="1"/>
        <v>85000</v>
      </c>
      <c r="H42">
        <v>11</v>
      </c>
      <c r="I42">
        <v>5</v>
      </c>
      <c r="J42" s="3" t="str">
        <f>VLOOKUP(I42,User!A:D,4,0)</f>
        <v>박동현</v>
      </c>
      <c r="K42">
        <v>1</v>
      </c>
      <c r="L42">
        <v>8</v>
      </c>
      <c r="M42">
        <v>2</v>
      </c>
      <c r="N42">
        <v>0</v>
      </c>
      <c r="Q42" s="5" t="e">
        <f>VLOOKUP(A42,SaleList!E:G,3,0)</f>
        <v>#N/A</v>
      </c>
      <c r="R42" s="5" t="e">
        <f>VLOOKUP(A42,SaleList!E:H,4,0)</f>
        <v>#N/A</v>
      </c>
      <c r="S42" s="2" t="e">
        <f t="shared" si="2"/>
        <v>#N/A</v>
      </c>
    </row>
    <row r="43" spans="1:19">
      <c r="A43">
        <v>42</v>
      </c>
      <c r="B43" t="s">
        <v>192</v>
      </c>
      <c r="C43">
        <v>60000</v>
      </c>
      <c r="D43" s="2">
        <f>VLOOKUP(A43,SaleList!E:E,1,0)</f>
        <v>42</v>
      </c>
      <c r="E43" s="2">
        <f>VLOOKUP(A43,SaleList!E:F,2,0)</f>
        <v>20</v>
      </c>
      <c r="F43" s="2">
        <f t="shared" si="0"/>
        <v>48000</v>
      </c>
      <c r="G43" s="2">
        <f t="shared" si="1"/>
        <v>48000</v>
      </c>
      <c r="H43">
        <v>11</v>
      </c>
      <c r="I43">
        <v>3</v>
      </c>
      <c r="J43" s="3" t="str">
        <f>VLOOKUP(I43,User!A:D,4,0)</f>
        <v>강수빈</v>
      </c>
      <c r="K43">
        <v>9</v>
      </c>
      <c r="L43">
        <v>1</v>
      </c>
      <c r="M43">
        <v>1</v>
      </c>
      <c r="N43">
        <v>4</v>
      </c>
      <c r="Q43" s="5">
        <f>VLOOKUP(A43,SaleList!E:G,3,0)</f>
        <v>45750</v>
      </c>
      <c r="R43" s="5">
        <f>VLOOKUP(A43,SaleList!E:H,4,0)</f>
        <v>45753</v>
      </c>
      <c r="S43" s="2">
        <f t="shared" si="2"/>
        <v>0</v>
      </c>
    </row>
    <row r="44" spans="1:19">
      <c r="A44">
        <v>43</v>
      </c>
      <c r="B44" t="s">
        <v>193</v>
      </c>
      <c r="C44">
        <v>35000</v>
      </c>
      <c r="D44" s="2" t="e">
        <f>VLOOKUP(A44,SaleList!E:E,1,0)</f>
        <v>#N/A</v>
      </c>
      <c r="E44" s="2" t="e">
        <f>VLOOKUP(A44,SaleList!E:F,2,0)</f>
        <v>#N/A</v>
      </c>
      <c r="F44" s="2" t="e">
        <f t="shared" si="0"/>
        <v>#N/A</v>
      </c>
      <c r="G44" s="2">
        <f t="shared" si="1"/>
        <v>35000</v>
      </c>
      <c r="H44">
        <v>11</v>
      </c>
      <c r="I44">
        <v>5</v>
      </c>
      <c r="J44" s="3" t="str">
        <f>VLOOKUP(I44,User!A:D,4,0)</f>
        <v>박동현</v>
      </c>
      <c r="K44">
        <v>9</v>
      </c>
      <c r="L44">
        <v>5</v>
      </c>
      <c r="M44">
        <v>3</v>
      </c>
      <c r="N44">
        <v>1</v>
      </c>
      <c r="Q44" s="5" t="e">
        <f>VLOOKUP(A44,SaleList!E:G,3,0)</f>
        <v>#N/A</v>
      </c>
      <c r="R44" s="5" t="e">
        <f>VLOOKUP(A44,SaleList!E:H,4,0)</f>
        <v>#N/A</v>
      </c>
      <c r="S44" s="2" t="e">
        <f t="shared" si="2"/>
        <v>#N/A</v>
      </c>
    </row>
    <row r="45" spans="1:19">
      <c r="A45">
        <v>44</v>
      </c>
      <c r="B45" t="s">
        <v>194</v>
      </c>
      <c r="C45">
        <v>35000</v>
      </c>
      <c r="D45" s="2" t="e">
        <f>VLOOKUP(A45,SaleList!E:E,1,0)</f>
        <v>#N/A</v>
      </c>
      <c r="E45" s="2" t="e">
        <f>VLOOKUP(A45,SaleList!E:F,2,0)</f>
        <v>#N/A</v>
      </c>
      <c r="F45" s="2" t="e">
        <f t="shared" si="0"/>
        <v>#N/A</v>
      </c>
      <c r="G45" s="2">
        <f t="shared" si="1"/>
        <v>35000</v>
      </c>
      <c r="H45">
        <v>11</v>
      </c>
      <c r="I45">
        <v>15</v>
      </c>
      <c r="J45" s="3" t="str">
        <f>VLOOKUP(I45,User!A:D,4,0)</f>
        <v>문영길</v>
      </c>
      <c r="K45">
        <v>0</v>
      </c>
      <c r="L45">
        <v>8</v>
      </c>
      <c r="M45">
        <v>4</v>
      </c>
      <c r="N45">
        <v>1</v>
      </c>
      <c r="Q45" s="5" t="e">
        <f>VLOOKUP(A45,SaleList!E:G,3,0)</f>
        <v>#N/A</v>
      </c>
      <c r="R45" s="5" t="e">
        <f>VLOOKUP(A45,SaleList!E:H,4,0)</f>
        <v>#N/A</v>
      </c>
      <c r="S45" s="2" t="e">
        <f t="shared" si="2"/>
        <v>#N/A</v>
      </c>
    </row>
    <row r="46" spans="1:19">
      <c r="A46">
        <v>45</v>
      </c>
      <c r="B46" t="s">
        <v>195</v>
      </c>
      <c r="C46">
        <v>100000</v>
      </c>
      <c r="D46" s="2" t="e">
        <f>VLOOKUP(A46,SaleList!E:E,1,0)</f>
        <v>#N/A</v>
      </c>
      <c r="E46" s="2" t="e">
        <f>VLOOKUP(A46,SaleList!E:F,2,0)</f>
        <v>#N/A</v>
      </c>
      <c r="F46" s="2" t="e">
        <f t="shared" si="0"/>
        <v>#N/A</v>
      </c>
      <c r="G46" s="2">
        <f t="shared" si="1"/>
        <v>100000</v>
      </c>
      <c r="H46">
        <v>12</v>
      </c>
      <c r="I46">
        <v>16</v>
      </c>
      <c r="J46" s="3" t="str">
        <f>VLOOKUP(I46,User!A:D,4,0)</f>
        <v>우정식</v>
      </c>
      <c r="K46">
        <v>10</v>
      </c>
      <c r="L46">
        <v>4</v>
      </c>
      <c r="M46">
        <v>10</v>
      </c>
      <c r="N46">
        <v>6</v>
      </c>
      <c r="Q46" s="5" t="e">
        <f>VLOOKUP(A46,SaleList!E:G,3,0)</f>
        <v>#N/A</v>
      </c>
      <c r="R46" s="5" t="e">
        <f>VLOOKUP(A46,SaleList!E:H,4,0)</f>
        <v>#N/A</v>
      </c>
      <c r="S46" s="2" t="e">
        <f t="shared" si="2"/>
        <v>#N/A</v>
      </c>
    </row>
    <row r="47" spans="1:19">
      <c r="A47">
        <v>46</v>
      </c>
      <c r="B47" t="s">
        <v>196</v>
      </c>
      <c r="C47">
        <v>25000</v>
      </c>
      <c r="D47" s="2" t="e">
        <f>VLOOKUP(A47,SaleList!E:E,1,0)</f>
        <v>#N/A</v>
      </c>
      <c r="E47" s="2" t="e">
        <f>VLOOKUP(A47,SaleList!E:F,2,0)</f>
        <v>#N/A</v>
      </c>
      <c r="F47" s="2" t="e">
        <f t="shared" si="0"/>
        <v>#N/A</v>
      </c>
      <c r="G47" s="2">
        <f t="shared" si="1"/>
        <v>25000</v>
      </c>
      <c r="H47">
        <v>12</v>
      </c>
      <c r="I47">
        <v>19</v>
      </c>
      <c r="J47" s="3" t="str">
        <f>VLOOKUP(I47,User!A:D,4,0)</f>
        <v>박정수</v>
      </c>
      <c r="K47">
        <v>4</v>
      </c>
      <c r="L47">
        <v>0</v>
      </c>
      <c r="M47">
        <v>1</v>
      </c>
      <c r="N47">
        <v>6</v>
      </c>
      <c r="Q47" s="5" t="e">
        <f>VLOOKUP(A47,SaleList!E:G,3,0)</f>
        <v>#N/A</v>
      </c>
      <c r="R47" s="5" t="e">
        <f>VLOOKUP(A47,SaleList!E:H,4,0)</f>
        <v>#N/A</v>
      </c>
      <c r="S47" s="2" t="e">
        <f t="shared" si="2"/>
        <v>#N/A</v>
      </c>
    </row>
    <row r="48" spans="1:19">
      <c r="A48">
        <v>47</v>
      </c>
      <c r="B48" t="s">
        <v>197</v>
      </c>
      <c r="C48">
        <v>55000</v>
      </c>
      <c r="D48" s="2" t="e">
        <f>VLOOKUP(A48,SaleList!E:E,1,0)</f>
        <v>#N/A</v>
      </c>
      <c r="E48" s="2" t="e">
        <f>VLOOKUP(A48,SaleList!E:F,2,0)</f>
        <v>#N/A</v>
      </c>
      <c r="F48" s="2" t="e">
        <f t="shared" si="0"/>
        <v>#N/A</v>
      </c>
      <c r="G48" s="2">
        <f t="shared" si="1"/>
        <v>55000</v>
      </c>
      <c r="H48">
        <v>12</v>
      </c>
      <c r="I48">
        <v>23</v>
      </c>
      <c r="J48" s="3" t="str">
        <f>VLOOKUP(I48,User!A:D,4,0)</f>
        <v>전예진</v>
      </c>
      <c r="K48">
        <v>7</v>
      </c>
      <c r="L48">
        <v>2</v>
      </c>
      <c r="M48">
        <v>1</v>
      </c>
      <c r="N48">
        <v>0</v>
      </c>
      <c r="Q48" s="5" t="e">
        <f>VLOOKUP(A48,SaleList!E:G,3,0)</f>
        <v>#N/A</v>
      </c>
      <c r="R48" s="5" t="e">
        <f>VLOOKUP(A48,SaleList!E:H,4,0)</f>
        <v>#N/A</v>
      </c>
      <c r="S48" s="2" t="e">
        <f t="shared" si="2"/>
        <v>#N/A</v>
      </c>
    </row>
    <row r="49" spans="1:19">
      <c r="A49">
        <v>48</v>
      </c>
      <c r="B49" t="s">
        <v>198</v>
      </c>
      <c r="C49">
        <v>55000</v>
      </c>
      <c r="D49" s="2" t="e">
        <f>VLOOKUP(A49,SaleList!E:E,1,0)</f>
        <v>#N/A</v>
      </c>
      <c r="E49" s="2" t="e">
        <f>VLOOKUP(A49,SaleList!E:F,2,0)</f>
        <v>#N/A</v>
      </c>
      <c r="F49" s="2" t="e">
        <f t="shared" si="0"/>
        <v>#N/A</v>
      </c>
      <c r="G49" s="2">
        <f t="shared" si="1"/>
        <v>55000</v>
      </c>
      <c r="H49">
        <v>12</v>
      </c>
      <c r="I49">
        <v>22</v>
      </c>
      <c r="J49" s="3" t="str">
        <f>VLOOKUP(I49,User!A:D,4,0)</f>
        <v>손현우</v>
      </c>
      <c r="K49">
        <v>3</v>
      </c>
      <c r="L49">
        <v>5</v>
      </c>
      <c r="M49">
        <v>0</v>
      </c>
      <c r="N49">
        <v>2</v>
      </c>
      <c r="Q49" s="5" t="e">
        <f>VLOOKUP(A49,SaleList!E:G,3,0)</f>
        <v>#N/A</v>
      </c>
      <c r="R49" s="5" t="e">
        <f>VLOOKUP(A49,SaleList!E:H,4,0)</f>
        <v>#N/A</v>
      </c>
      <c r="S49" s="2" t="e">
        <f t="shared" si="2"/>
        <v>#N/A</v>
      </c>
    </row>
    <row r="50" spans="1:19">
      <c r="A50">
        <v>49</v>
      </c>
      <c r="B50" t="s">
        <v>199</v>
      </c>
      <c r="C50">
        <v>10000</v>
      </c>
      <c r="D50" s="2" t="e">
        <f>VLOOKUP(A50,SaleList!E:E,1,0)</f>
        <v>#N/A</v>
      </c>
      <c r="E50" s="2" t="e">
        <f>VLOOKUP(A50,SaleList!E:F,2,0)</f>
        <v>#N/A</v>
      </c>
      <c r="F50" s="2" t="e">
        <f t="shared" si="0"/>
        <v>#N/A</v>
      </c>
      <c r="G50" s="2">
        <f t="shared" si="1"/>
        <v>10000</v>
      </c>
      <c r="H50">
        <v>13</v>
      </c>
      <c r="I50">
        <v>14</v>
      </c>
      <c r="J50" s="3" t="str">
        <f>VLOOKUP(I50,User!A:D,4,0)</f>
        <v>이영자</v>
      </c>
      <c r="K50">
        <v>2</v>
      </c>
      <c r="L50">
        <v>5</v>
      </c>
      <c r="M50">
        <v>7</v>
      </c>
      <c r="N50">
        <v>3</v>
      </c>
      <c r="Q50" s="5" t="e">
        <f>VLOOKUP(A50,SaleList!E:G,3,0)</f>
        <v>#N/A</v>
      </c>
      <c r="R50" s="5" t="e">
        <f>VLOOKUP(A50,SaleList!E:H,4,0)</f>
        <v>#N/A</v>
      </c>
      <c r="S50" s="2" t="e">
        <f t="shared" si="2"/>
        <v>#N/A</v>
      </c>
    </row>
    <row r="51" spans="1:19">
      <c r="A51">
        <v>50</v>
      </c>
      <c r="B51" t="s">
        <v>200</v>
      </c>
      <c r="C51">
        <v>35000</v>
      </c>
      <c r="D51" s="2" t="e">
        <f>VLOOKUP(A51,SaleList!E:E,1,0)</f>
        <v>#N/A</v>
      </c>
      <c r="E51" s="2" t="e">
        <f>VLOOKUP(A51,SaleList!E:F,2,0)</f>
        <v>#N/A</v>
      </c>
      <c r="F51" s="2" t="e">
        <f t="shared" si="0"/>
        <v>#N/A</v>
      </c>
      <c r="G51" s="2">
        <f t="shared" si="1"/>
        <v>35000</v>
      </c>
      <c r="H51">
        <v>13</v>
      </c>
      <c r="I51">
        <v>4</v>
      </c>
      <c r="J51" s="3" t="str">
        <f>VLOOKUP(I51,User!A:D,4,0)</f>
        <v>윤예지</v>
      </c>
      <c r="K51">
        <v>7</v>
      </c>
      <c r="L51">
        <v>0</v>
      </c>
      <c r="M51">
        <v>8</v>
      </c>
      <c r="N51">
        <v>7</v>
      </c>
      <c r="Q51" s="5" t="e">
        <f>VLOOKUP(A51,SaleList!E:G,3,0)</f>
        <v>#N/A</v>
      </c>
      <c r="R51" s="5" t="e">
        <f>VLOOKUP(A51,SaleList!E:H,4,0)</f>
        <v>#N/A</v>
      </c>
      <c r="S51" s="2" t="e">
        <f t="shared" si="2"/>
        <v>#N/A</v>
      </c>
    </row>
    <row r="52" spans="1:19">
      <c r="A52">
        <v>51</v>
      </c>
      <c r="B52" t="s">
        <v>201</v>
      </c>
      <c r="C52">
        <v>90000</v>
      </c>
      <c r="D52" s="2">
        <f>VLOOKUP(A52,SaleList!E:E,1,0)</f>
        <v>51</v>
      </c>
      <c r="E52" s="2">
        <f>VLOOKUP(A52,SaleList!E:F,2,0)</f>
        <v>55</v>
      </c>
      <c r="F52" s="2">
        <f t="shared" si="0"/>
        <v>40500</v>
      </c>
      <c r="G52" s="2">
        <f t="shared" si="1"/>
        <v>40500</v>
      </c>
      <c r="H52">
        <v>13</v>
      </c>
      <c r="I52">
        <v>22</v>
      </c>
      <c r="J52" s="3" t="str">
        <f>VLOOKUP(I52,User!A:D,4,0)</f>
        <v>손현우</v>
      </c>
      <c r="K52">
        <v>2</v>
      </c>
      <c r="L52">
        <v>8</v>
      </c>
      <c r="M52">
        <v>10</v>
      </c>
      <c r="N52">
        <v>9</v>
      </c>
      <c r="Q52" s="5">
        <f>VLOOKUP(A52,SaleList!E:G,3,0)</f>
        <v>45751</v>
      </c>
      <c r="R52" s="5">
        <f>VLOOKUP(A52,SaleList!E:H,4,0)</f>
        <v>45754</v>
      </c>
      <c r="S52" s="2">
        <f t="shared" si="2"/>
        <v>0</v>
      </c>
    </row>
    <row r="53" spans="1:19">
      <c r="A53">
        <v>52</v>
      </c>
      <c r="B53" t="s">
        <v>202</v>
      </c>
      <c r="C53">
        <v>65000</v>
      </c>
      <c r="D53" s="2" t="e">
        <f>VLOOKUP(A53,SaleList!E:E,1,0)</f>
        <v>#N/A</v>
      </c>
      <c r="E53" s="2" t="e">
        <f>VLOOKUP(A53,SaleList!E:F,2,0)</f>
        <v>#N/A</v>
      </c>
      <c r="F53" s="2" t="e">
        <f t="shared" si="0"/>
        <v>#N/A</v>
      </c>
      <c r="G53" s="2">
        <f t="shared" si="1"/>
        <v>65000</v>
      </c>
      <c r="H53">
        <v>13</v>
      </c>
      <c r="I53">
        <v>12</v>
      </c>
      <c r="J53" s="3" t="str">
        <f>VLOOKUP(I53,User!A:D,4,0)</f>
        <v>이상현</v>
      </c>
      <c r="K53">
        <v>0</v>
      </c>
      <c r="L53">
        <v>1</v>
      </c>
      <c r="M53">
        <v>4</v>
      </c>
      <c r="N53">
        <v>2</v>
      </c>
      <c r="Q53" s="5" t="e">
        <f>VLOOKUP(A53,SaleList!E:G,3,0)</f>
        <v>#N/A</v>
      </c>
      <c r="R53" s="5" t="e">
        <f>VLOOKUP(A53,SaleList!E:H,4,0)</f>
        <v>#N/A</v>
      </c>
      <c r="S53" s="2" t="e">
        <f t="shared" si="2"/>
        <v>#N/A</v>
      </c>
    </row>
    <row r="54" spans="1:19">
      <c r="A54">
        <v>53</v>
      </c>
      <c r="B54" t="s">
        <v>203</v>
      </c>
      <c r="C54">
        <v>75000</v>
      </c>
      <c r="D54" s="2" t="e">
        <f>VLOOKUP(A54,SaleList!E:E,1,0)</f>
        <v>#N/A</v>
      </c>
      <c r="E54" s="2" t="e">
        <f>VLOOKUP(A54,SaleList!E:F,2,0)</f>
        <v>#N/A</v>
      </c>
      <c r="F54" s="2" t="e">
        <f t="shared" si="0"/>
        <v>#N/A</v>
      </c>
      <c r="G54" s="2">
        <f t="shared" si="1"/>
        <v>75000</v>
      </c>
      <c r="H54">
        <v>14</v>
      </c>
      <c r="I54">
        <v>25</v>
      </c>
      <c r="J54" s="3" t="str">
        <f>VLOOKUP(I54,User!A:D,4,0)</f>
        <v>김영미</v>
      </c>
      <c r="K54">
        <v>0</v>
      </c>
      <c r="L54">
        <v>1</v>
      </c>
      <c r="M54">
        <v>3</v>
      </c>
      <c r="N54">
        <v>4</v>
      </c>
      <c r="Q54" s="5" t="e">
        <f>VLOOKUP(A54,SaleList!E:G,3,0)</f>
        <v>#N/A</v>
      </c>
      <c r="R54" s="5" t="e">
        <f>VLOOKUP(A54,SaleList!E:H,4,0)</f>
        <v>#N/A</v>
      </c>
      <c r="S54" s="2" t="e">
        <f t="shared" si="2"/>
        <v>#N/A</v>
      </c>
    </row>
    <row r="55" spans="1:19">
      <c r="A55">
        <v>54</v>
      </c>
      <c r="B55" t="s">
        <v>204</v>
      </c>
      <c r="C55">
        <v>10000</v>
      </c>
      <c r="D55" s="2" t="e">
        <f>VLOOKUP(A55,SaleList!E:E,1,0)</f>
        <v>#N/A</v>
      </c>
      <c r="E55" s="2" t="e">
        <f>VLOOKUP(A55,SaleList!E:F,2,0)</f>
        <v>#N/A</v>
      </c>
      <c r="F55" s="2" t="e">
        <f t="shared" si="0"/>
        <v>#N/A</v>
      </c>
      <c r="G55" s="2">
        <f t="shared" si="1"/>
        <v>10000</v>
      </c>
      <c r="H55">
        <v>14</v>
      </c>
      <c r="I55">
        <v>2</v>
      </c>
      <c r="J55" s="3" t="str">
        <f>VLOOKUP(I55,User!A:D,4,0)</f>
        <v>이예은</v>
      </c>
      <c r="K55">
        <v>4</v>
      </c>
      <c r="L55">
        <v>0</v>
      </c>
      <c r="M55">
        <v>5</v>
      </c>
      <c r="N55">
        <v>9</v>
      </c>
      <c r="Q55" s="5" t="e">
        <f>VLOOKUP(A55,SaleList!E:G,3,0)</f>
        <v>#N/A</v>
      </c>
      <c r="R55" s="5" t="e">
        <f>VLOOKUP(A55,SaleList!E:H,4,0)</f>
        <v>#N/A</v>
      </c>
      <c r="S55" s="2" t="e">
        <f t="shared" si="2"/>
        <v>#N/A</v>
      </c>
    </row>
    <row r="56" spans="1:19">
      <c r="A56">
        <v>55</v>
      </c>
      <c r="B56" t="s">
        <v>205</v>
      </c>
      <c r="C56">
        <v>75000</v>
      </c>
      <c r="D56" s="2" t="e">
        <f>VLOOKUP(A56,SaleList!E:E,1,0)</f>
        <v>#N/A</v>
      </c>
      <c r="E56" s="2" t="e">
        <f>VLOOKUP(A56,SaleList!E:F,2,0)</f>
        <v>#N/A</v>
      </c>
      <c r="F56" s="2" t="e">
        <f t="shared" si="0"/>
        <v>#N/A</v>
      </c>
      <c r="G56" s="2">
        <f t="shared" si="1"/>
        <v>75000</v>
      </c>
      <c r="H56">
        <v>14</v>
      </c>
      <c r="I56">
        <v>23</v>
      </c>
      <c r="J56" s="3" t="str">
        <f>VLOOKUP(I56,User!A:D,4,0)</f>
        <v>전예진</v>
      </c>
      <c r="K56">
        <v>5</v>
      </c>
      <c r="L56">
        <v>3</v>
      </c>
      <c r="M56">
        <v>6</v>
      </c>
      <c r="N56">
        <v>0</v>
      </c>
      <c r="Q56" s="5" t="e">
        <f>VLOOKUP(A56,SaleList!E:G,3,0)</f>
        <v>#N/A</v>
      </c>
      <c r="R56" s="5" t="e">
        <f>VLOOKUP(A56,SaleList!E:H,4,0)</f>
        <v>#N/A</v>
      </c>
      <c r="S56" s="2" t="e">
        <f t="shared" si="2"/>
        <v>#N/A</v>
      </c>
    </row>
    <row r="57" spans="1:19">
      <c r="A57">
        <v>56</v>
      </c>
      <c r="B57" t="s">
        <v>206</v>
      </c>
      <c r="C57">
        <v>100000</v>
      </c>
      <c r="D57" s="2" t="e">
        <f>VLOOKUP(A57,SaleList!E:E,1,0)</f>
        <v>#N/A</v>
      </c>
      <c r="E57" s="2" t="e">
        <f>VLOOKUP(A57,SaleList!E:F,2,0)</f>
        <v>#N/A</v>
      </c>
      <c r="F57" s="2" t="e">
        <f t="shared" si="0"/>
        <v>#N/A</v>
      </c>
      <c r="G57" s="2">
        <f t="shared" si="1"/>
        <v>100000</v>
      </c>
      <c r="H57">
        <v>14</v>
      </c>
      <c r="I57">
        <v>23</v>
      </c>
      <c r="J57" s="3" t="str">
        <f>VLOOKUP(I57,User!A:D,4,0)</f>
        <v>전예진</v>
      </c>
      <c r="K57">
        <v>5</v>
      </c>
      <c r="L57">
        <v>8</v>
      </c>
      <c r="M57">
        <v>3</v>
      </c>
      <c r="N57">
        <v>6</v>
      </c>
      <c r="Q57" s="5" t="e">
        <f>VLOOKUP(A57,SaleList!E:G,3,0)</f>
        <v>#N/A</v>
      </c>
      <c r="R57" s="5" t="e">
        <f>VLOOKUP(A57,SaleList!E:H,4,0)</f>
        <v>#N/A</v>
      </c>
      <c r="S57" s="2" t="e">
        <f t="shared" si="2"/>
        <v>#N/A</v>
      </c>
    </row>
    <row r="58" spans="1:19">
      <c r="A58">
        <v>57</v>
      </c>
      <c r="B58" t="s">
        <v>207</v>
      </c>
      <c r="C58">
        <v>70000</v>
      </c>
      <c r="D58" s="2" t="e">
        <f>VLOOKUP(A58,SaleList!E:E,1,0)</f>
        <v>#N/A</v>
      </c>
      <c r="E58" s="2" t="e">
        <f>VLOOKUP(A58,SaleList!E:F,2,0)</f>
        <v>#N/A</v>
      </c>
      <c r="F58" s="2" t="e">
        <f t="shared" si="0"/>
        <v>#N/A</v>
      </c>
      <c r="G58" s="2">
        <f t="shared" si="1"/>
        <v>70000</v>
      </c>
      <c r="H58">
        <v>15</v>
      </c>
      <c r="I58">
        <v>5</v>
      </c>
      <c r="J58" s="3" t="str">
        <f>VLOOKUP(I58,User!A:D,4,0)</f>
        <v>박동현</v>
      </c>
      <c r="K58">
        <v>6</v>
      </c>
      <c r="L58">
        <v>8</v>
      </c>
      <c r="M58">
        <v>2</v>
      </c>
      <c r="N58">
        <v>9</v>
      </c>
      <c r="Q58" s="5" t="e">
        <f>VLOOKUP(A58,SaleList!E:G,3,0)</f>
        <v>#N/A</v>
      </c>
      <c r="R58" s="5" t="e">
        <f>VLOOKUP(A58,SaleList!E:H,4,0)</f>
        <v>#N/A</v>
      </c>
      <c r="S58" s="2" t="e">
        <f t="shared" si="2"/>
        <v>#N/A</v>
      </c>
    </row>
    <row r="59" spans="1:19">
      <c r="A59">
        <v>58</v>
      </c>
      <c r="B59" t="s">
        <v>208</v>
      </c>
      <c r="C59">
        <v>20000</v>
      </c>
      <c r="D59" s="2" t="e">
        <f>VLOOKUP(A59,SaleList!E:E,1,0)</f>
        <v>#N/A</v>
      </c>
      <c r="E59" s="2" t="e">
        <f>VLOOKUP(A59,SaleList!E:F,2,0)</f>
        <v>#N/A</v>
      </c>
      <c r="F59" s="2" t="e">
        <f t="shared" si="0"/>
        <v>#N/A</v>
      </c>
      <c r="G59" s="2">
        <f t="shared" si="1"/>
        <v>20000</v>
      </c>
      <c r="H59">
        <v>15</v>
      </c>
      <c r="I59">
        <v>16</v>
      </c>
      <c r="J59" s="3" t="str">
        <f>VLOOKUP(I59,User!A:D,4,0)</f>
        <v>우정식</v>
      </c>
      <c r="K59">
        <v>8</v>
      </c>
      <c r="L59">
        <v>4</v>
      </c>
      <c r="M59">
        <v>9</v>
      </c>
      <c r="N59">
        <v>2</v>
      </c>
      <c r="Q59" s="5" t="e">
        <f>VLOOKUP(A59,SaleList!E:G,3,0)</f>
        <v>#N/A</v>
      </c>
      <c r="R59" s="5" t="e">
        <f>VLOOKUP(A59,SaleList!E:H,4,0)</f>
        <v>#N/A</v>
      </c>
      <c r="S59" s="2" t="e">
        <f t="shared" si="2"/>
        <v>#N/A</v>
      </c>
    </row>
    <row r="60" spans="1:19">
      <c r="A60">
        <v>59</v>
      </c>
      <c r="B60" t="s">
        <v>209</v>
      </c>
      <c r="C60">
        <v>100000</v>
      </c>
      <c r="D60" s="2" t="e">
        <f>VLOOKUP(A60,SaleList!E:E,1,0)</f>
        <v>#N/A</v>
      </c>
      <c r="E60" s="2" t="e">
        <f>VLOOKUP(A60,SaleList!E:F,2,0)</f>
        <v>#N/A</v>
      </c>
      <c r="F60" s="2" t="e">
        <f t="shared" si="0"/>
        <v>#N/A</v>
      </c>
      <c r="G60" s="2">
        <f t="shared" si="1"/>
        <v>100000</v>
      </c>
      <c r="H60">
        <v>15</v>
      </c>
      <c r="I60">
        <v>21</v>
      </c>
      <c r="J60" s="3" t="str">
        <f>VLOOKUP(I60,User!A:D,4,0)</f>
        <v>김현정</v>
      </c>
      <c r="K60">
        <v>4</v>
      </c>
      <c r="L60">
        <v>4</v>
      </c>
      <c r="M60">
        <v>8</v>
      </c>
      <c r="N60">
        <v>4</v>
      </c>
      <c r="Q60" s="5" t="e">
        <f>VLOOKUP(A60,SaleList!E:G,3,0)</f>
        <v>#N/A</v>
      </c>
      <c r="R60" s="5" t="e">
        <f>VLOOKUP(A60,SaleList!E:H,4,0)</f>
        <v>#N/A</v>
      </c>
      <c r="S60" s="2" t="e">
        <f t="shared" si="2"/>
        <v>#N/A</v>
      </c>
    </row>
    <row r="61" spans="1:19">
      <c r="A61">
        <v>60</v>
      </c>
      <c r="B61" t="s">
        <v>210</v>
      </c>
      <c r="C61">
        <v>5000</v>
      </c>
      <c r="D61" s="2" t="e">
        <f>VLOOKUP(A61,SaleList!E:E,1,0)</f>
        <v>#N/A</v>
      </c>
      <c r="E61" s="2" t="e">
        <f>VLOOKUP(A61,SaleList!E:F,2,0)</f>
        <v>#N/A</v>
      </c>
      <c r="F61" s="2" t="e">
        <f t="shared" si="0"/>
        <v>#N/A</v>
      </c>
      <c r="G61" s="2">
        <f t="shared" si="1"/>
        <v>5000</v>
      </c>
      <c r="H61">
        <v>15</v>
      </c>
      <c r="I61">
        <v>15</v>
      </c>
      <c r="J61" s="3" t="str">
        <f>VLOOKUP(I61,User!A:D,4,0)</f>
        <v>문영길</v>
      </c>
      <c r="K61">
        <v>1</v>
      </c>
      <c r="L61">
        <v>0</v>
      </c>
      <c r="M61">
        <v>1</v>
      </c>
      <c r="N61">
        <v>7</v>
      </c>
      <c r="Q61" s="5" t="e">
        <f>VLOOKUP(A61,SaleList!E:G,3,0)</f>
        <v>#N/A</v>
      </c>
      <c r="R61" s="5" t="e">
        <f>VLOOKUP(A61,SaleList!E:H,4,0)</f>
        <v>#N/A</v>
      </c>
      <c r="S61" s="2" t="e">
        <f t="shared" si="2"/>
        <v>#N/A</v>
      </c>
    </row>
    <row r="62" spans="1:19">
      <c r="A62">
        <v>61</v>
      </c>
      <c r="B62" t="s">
        <v>211</v>
      </c>
      <c r="C62">
        <v>65000</v>
      </c>
      <c r="D62" s="2" t="e">
        <f>VLOOKUP(A62,SaleList!E:E,1,0)</f>
        <v>#N/A</v>
      </c>
      <c r="E62" s="2" t="e">
        <f>VLOOKUP(A62,SaleList!E:F,2,0)</f>
        <v>#N/A</v>
      </c>
      <c r="F62" s="2" t="e">
        <f t="shared" si="0"/>
        <v>#N/A</v>
      </c>
      <c r="G62" s="2">
        <f t="shared" si="1"/>
        <v>65000</v>
      </c>
      <c r="H62">
        <v>16</v>
      </c>
      <c r="I62">
        <v>16</v>
      </c>
      <c r="J62" s="3" t="str">
        <f>VLOOKUP(I62,User!A:D,4,0)</f>
        <v>우정식</v>
      </c>
      <c r="K62">
        <v>4</v>
      </c>
      <c r="L62">
        <v>9</v>
      </c>
      <c r="M62">
        <v>4</v>
      </c>
      <c r="N62">
        <v>3</v>
      </c>
      <c r="Q62" s="5" t="e">
        <f>VLOOKUP(A62,SaleList!E:G,3,0)</f>
        <v>#N/A</v>
      </c>
      <c r="R62" s="5" t="e">
        <f>VLOOKUP(A62,SaleList!E:H,4,0)</f>
        <v>#N/A</v>
      </c>
      <c r="S62" s="2" t="e">
        <f t="shared" si="2"/>
        <v>#N/A</v>
      </c>
    </row>
    <row r="63" spans="1:19">
      <c r="A63">
        <v>62</v>
      </c>
      <c r="B63" t="s">
        <v>212</v>
      </c>
      <c r="C63">
        <v>95000</v>
      </c>
      <c r="D63" s="2" t="e">
        <f>VLOOKUP(A63,SaleList!E:E,1,0)</f>
        <v>#N/A</v>
      </c>
      <c r="E63" s="2" t="e">
        <f>VLOOKUP(A63,SaleList!E:F,2,0)</f>
        <v>#N/A</v>
      </c>
      <c r="F63" s="2" t="e">
        <f t="shared" si="0"/>
        <v>#N/A</v>
      </c>
      <c r="G63" s="2">
        <f t="shared" si="1"/>
        <v>95000</v>
      </c>
      <c r="H63">
        <v>16</v>
      </c>
      <c r="I63">
        <v>27</v>
      </c>
      <c r="J63" s="3" t="str">
        <f>VLOOKUP(I63,User!A:D,4,0)</f>
        <v>김정희</v>
      </c>
      <c r="K63">
        <v>9</v>
      </c>
      <c r="L63">
        <v>3</v>
      </c>
      <c r="M63">
        <v>10</v>
      </c>
      <c r="N63">
        <v>0</v>
      </c>
      <c r="Q63" s="5" t="e">
        <f>VLOOKUP(A63,SaleList!E:G,3,0)</f>
        <v>#N/A</v>
      </c>
      <c r="R63" s="5" t="e">
        <f>VLOOKUP(A63,SaleList!E:H,4,0)</f>
        <v>#N/A</v>
      </c>
      <c r="S63" s="2" t="e">
        <f t="shared" si="2"/>
        <v>#N/A</v>
      </c>
    </row>
    <row r="64" spans="1:19">
      <c r="A64">
        <v>63</v>
      </c>
      <c r="B64" t="s">
        <v>213</v>
      </c>
      <c r="C64">
        <v>90000</v>
      </c>
      <c r="D64" s="2" t="e">
        <f>VLOOKUP(A64,SaleList!E:E,1,0)</f>
        <v>#N/A</v>
      </c>
      <c r="E64" s="2" t="e">
        <f>VLOOKUP(A64,SaleList!E:F,2,0)</f>
        <v>#N/A</v>
      </c>
      <c r="F64" s="2" t="e">
        <f t="shared" si="0"/>
        <v>#N/A</v>
      </c>
      <c r="G64" s="2">
        <f t="shared" si="1"/>
        <v>90000</v>
      </c>
      <c r="H64">
        <v>16</v>
      </c>
      <c r="I64">
        <v>14</v>
      </c>
      <c r="J64" s="3" t="str">
        <f>VLOOKUP(I64,User!A:D,4,0)</f>
        <v>이영자</v>
      </c>
      <c r="K64">
        <v>10</v>
      </c>
      <c r="L64">
        <v>7</v>
      </c>
      <c r="M64">
        <v>0</v>
      </c>
      <c r="N64">
        <v>5</v>
      </c>
      <c r="Q64" s="5" t="e">
        <f>VLOOKUP(A64,SaleList!E:G,3,0)</f>
        <v>#N/A</v>
      </c>
      <c r="R64" s="5" t="e">
        <f>VLOOKUP(A64,SaleList!E:H,4,0)</f>
        <v>#N/A</v>
      </c>
      <c r="S64" s="2" t="e">
        <f t="shared" si="2"/>
        <v>#N/A</v>
      </c>
    </row>
    <row r="65" spans="1:19">
      <c r="A65">
        <v>64</v>
      </c>
      <c r="B65" t="s">
        <v>214</v>
      </c>
      <c r="C65">
        <v>5000</v>
      </c>
      <c r="D65" s="2" t="e">
        <f>VLOOKUP(A65,SaleList!E:E,1,0)</f>
        <v>#N/A</v>
      </c>
      <c r="E65" s="2" t="e">
        <f>VLOOKUP(A65,SaleList!E:F,2,0)</f>
        <v>#N/A</v>
      </c>
      <c r="F65" s="2" t="e">
        <f t="shared" si="0"/>
        <v>#N/A</v>
      </c>
      <c r="G65" s="2">
        <f t="shared" si="1"/>
        <v>5000</v>
      </c>
      <c r="H65">
        <v>16</v>
      </c>
      <c r="I65">
        <v>21</v>
      </c>
      <c r="J65" s="3" t="str">
        <f>VLOOKUP(I65,User!A:D,4,0)</f>
        <v>김현정</v>
      </c>
      <c r="K65">
        <v>10</v>
      </c>
      <c r="L65">
        <v>3</v>
      </c>
      <c r="M65">
        <v>8</v>
      </c>
      <c r="N65">
        <v>4</v>
      </c>
      <c r="Q65" s="5" t="e">
        <f>VLOOKUP(A65,SaleList!E:G,3,0)</f>
        <v>#N/A</v>
      </c>
      <c r="R65" s="5" t="e">
        <f>VLOOKUP(A65,SaleList!E:H,4,0)</f>
        <v>#N/A</v>
      </c>
      <c r="S65" s="2" t="e">
        <f t="shared" si="2"/>
        <v>#N/A</v>
      </c>
    </row>
    <row r="66" spans="1:19">
      <c r="A66">
        <v>65</v>
      </c>
      <c r="B66" t="s">
        <v>215</v>
      </c>
      <c r="C66">
        <v>20000</v>
      </c>
      <c r="D66" s="2" t="e">
        <f>VLOOKUP(A66,SaleList!E:E,1,0)</f>
        <v>#N/A</v>
      </c>
      <c r="E66" s="2" t="e">
        <f>VLOOKUP(A66,SaleList!E:F,2,0)</f>
        <v>#N/A</v>
      </c>
      <c r="F66" s="2" t="e">
        <f t="shared" si="0"/>
        <v>#N/A</v>
      </c>
      <c r="G66" s="2">
        <f t="shared" si="1"/>
        <v>20000</v>
      </c>
      <c r="H66">
        <v>17</v>
      </c>
      <c r="I66">
        <v>30</v>
      </c>
      <c r="J66" s="3" t="str">
        <f>VLOOKUP(I66,User!A:D,4,0)</f>
        <v>박성민</v>
      </c>
      <c r="K66">
        <v>8</v>
      </c>
      <c r="L66">
        <v>2</v>
      </c>
      <c r="M66">
        <v>3</v>
      </c>
      <c r="N66">
        <v>0</v>
      </c>
      <c r="Q66" s="5" t="e">
        <f>VLOOKUP(A66,SaleList!E:G,3,0)</f>
        <v>#N/A</v>
      </c>
      <c r="R66" s="5" t="e">
        <f>VLOOKUP(A66,SaleList!E:H,4,0)</f>
        <v>#N/A</v>
      </c>
      <c r="S66" s="2" t="e">
        <f t="shared" si="2"/>
        <v>#N/A</v>
      </c>
    </row>
    <row r="67" spans="1:19">
      <c r="A67">
        <v>66</v>
      </c>
      <c r="B67" t="s">
        <v>216</v>
      </c>
      <c r="C67">
        <v>70000</v>
      </c>
      <c r="D67" s="2">
        <f>VLOOKUP(A67,SaleList!E:E,1,0)</f>
        <v>66</v>
      </c>
      <c r="E67" s="2">
        <f>VLOOKUP(A67,SaleList!E:F,2,0)</f>
        <v>10</v>
      </c>
      <c r="F67" s="2">
        <f t="shared" ref="F67:F130" si="3">C67*((100-E67)/100)</f>
        <v>63000</v>
      </c>
      <c r="G67" s="2">
        <f t="shared" ref="G67:G130" si="4">_xlfn.IFNA(F67,C67)</f>
        <v>63000</v>
      </c>
      <c r="H67">
        <v>17</v>
      </c>
      <c r="I67">
        <v>15</v>
      </c>
      <c r="J67" s="3" t="str">
        <f>VLOOKUP(I67,User!A:D,4,0)</f>
        <v>문영길</v>
      </c>
      <c r="K67">
        <v>1</v>
      </c>
      <c r="L67">
        <v>1</v>
      </c>
      <c r="M67">
        <v>9</v>
      </c>
      <c r="N67">
        <v>2</v>
      </c>
      <c r="Q67" s="5">
        <f>VLOOKUP(A67,SaleList!E:G,3,0)</f>
        <v>45752</v>
      </c>
      <c r="R67" s="5">
        <f>VLOOKUP(A67,SaleList!E:H,4,0)</f>
        <v>45753</v>
      </c>
      <c r="S67" s="2">
        <f t="shared" si="2"/>
        <v>0</v>
      </c>
    </row>
    <row r="68" spans="1:19">
      <c r="A68">
        <v>67</v>
      </c>
      <c r="B68" t="s">
        <v>217</v>
      </c>
      <c r="C68">
        <v>90000</v>
      </c>
      <c r="D68" s="2" t="e">
        <f>VLOOKUP(A68,SaleList!E:E,1,0)</f>
        <v>#N/A</v>
      </c>
      <c r="E68" s="2" t="e">
        <f>VLOOKUP(A68,SaleList!E:F,2,0)</f>
        <v>#N/A</v>
      </c>
      <c r="F68" s="2" t="e">
        <f t="shared" si="3"/>
        <v>#N/A</v>
      </c>
      <c r="G68" s="2">
        <f t="shared" si="4"/>
        <v>90000</v>
      </c>
      <c r="H68">
        <v>17</v>
      </c>
      <c r="I68">
        <v>29</v>
      </c>
      <c r="J68" s="3" t="str">
        <f>VLOOKUP(I68,User!A:D,4,0)</f>
        <v>문민지</v>
      </c>
      <c r="K68">
        <v>1</v>
      </c>
      <c r="L68">
        <v>1</v>
      </c>
      <c r="M68">
        <v>5</v>
      </c>
      <c r="N68">
        <v>3</v>
      </c>
      <c r="Q68" s="5" t="e">
        <f>VLOOKUP(A68,SaleList!E:G,3,0)</f>
        <v>#N/A</v>
      </c>
      <c r="R68" s="5" t="e">
        <f>VLOOKUP(A68,SaleList!E:H,4,0)</f>
        <v>#N/A</v>
      </c>
      <c r="S68" s="2" t="e">
        <f t="shared" ref="S68:S131" si="5">IF(AND(Q68&lt;=DATE(2025,4,2), R68&gt;=DATE(2025,4,2)), 1, 0)</f>
        <v>#N/A</v>
      </c>
    </row>
    <row r="69" spans="1:19">
      <c r="A69">
        <v>68</v>
      </c>
      <c r="B69" t="s">
        <v>218</v>
      </c>
      <c r="C69">
        <v>30000</v>
      </c>
      <c r="D69" s="2" t="e">
        <f>VLOOKUP(A69,SaleList!E:E,1,0)</f>
        <v>#N/A</v>
      </c>
      <c r="E69" s="2" t="e">
        <f>VLOOKUP(A69,SaleList!E:F,2,0)</f>
        <v>#N/A</v>
      </c>
      <c r="F69" s="2" t="e">
        <f t="shared" si="3"/>
        <v>#N/A</v>
      </c>
      <c r="G69" s="2">
        <f t="shared" si="4"/>
        <v>30000</v>
      </c>
      <c r="H69">
        <v>17</v>
      </c>
      <c r="I69">
        <v>8</v>
      </c>
      <c r="J69" s="3" t="str">
        <f>VLOOKUP(I69,User!A:D,4,0)</f>
        <v>이수민</v>
      </c>
      <c r="K69">
        <v>7</v>
      </c>
      <c r="L69">
        <v>2</v>
      </c>
      <c r="M69">
        <v>5</v>
      </c>
      <c r="N69">
        <v>1</v>
      </c>
      <c r="Q69" s="5" t="e">
        <f>VLOOKUP(A69,SaleList!E:G,3,0)</f>
        <v>#N/A</v>
      </c>
      <c r="R69" s="5" t="e">
        <f>VLOOKUP(A69,SaleList!E:H,4,0)</f>
        <v>#N/A</v>
      </c>
      <c r="S69" s="2" t="e">
        <f t="shared" si="5"/>
        <v>#N/A</v>
      </c>
    </row>
    <row r="70" spans="1:19">
      <c r="A70">
        <v>69</v>
      </c>
      <c r="B70" t="s">
        <v>219</v>
      </c>
      <c r="C70">
        <v>60000</v>
      </c>
      <c r="D70" s="2">
        <f>VLOOKUP(A70,SaleList!E:E,1,0)</f>
        <v>69</v>
      </c>
      <c r="E70" s="2">
        <f>VLOOKUP(A70,SaleList!E:F,2,0)</f>
        <v>5</v>
      </c>
      <c r="F70" s="2">
        <f t="shared" si="3"/>
        <v>57000</v>
      </c>
      <c r="G70" s="2">
        <f t="shared" si="4"/>
        <v>57000</v>
      </c>
      <c r="H70">
        <v>18</v>
      </c>
      <c r="I70">
        <v>18</v>
      </c>
      <c r="J70" s="3" t="str">
        <f>VLOOKUP(I70,User!A:D,4,0)</f>
        <v>김우진</v>
      </c>
      <c r="K70">
        <v>9</v>
      </c>
      <c r="L70">
        <v>1</v>
      </c>
      <c r="M70">
        <v>1</v>
      </c>
      <c r="N70">
        <v>7</v>
      </c>
      <c r="Q70" s="5">
        <f>VLOOKUP(A70,SaleList!E:G,3,0)</f>
        <v>45753</v>
      </c>
      <c r="R70" s="5">
        <f>VLOOKUP(A70,SaleList!E:H,4,0)</f>
        <v>45754</v>
      </c>
      <c r="S70" s="2">
        <f t="shared" si="5"/>
        <v>0</v>
      </c>
    </row>
    <row r="71" spans="1:19">
      <c r="A71">
        <v>70</v>
      </c>
      <c r="B71" t="s">
        <v>220</v>
      </c>
      <c r="C71">
        <v>55000</v>
      </c>
      <c r="D71" s="2" t="e">
        <f>VLOOKUP(A71,SaleList!E:E,1,0)</f>
        <v>#N/A</v>
      </c>
      <c r="E71" s="2" t="e">
        <f>VLOOKUP(A71,SaleList!E:F,2,0)</f>
        <v>#N/A</v>
      </c>
      <c r="F71" s="2" t="e">
        <f t="shared" si="3"/>
        <v>#N/A</v>
      </c>
      <c r="G71" s="2">
        <f t="shared" si="4"/>
        <v>55000</v>
      </c>
      <c r="H71">
        <v>18</v>
      </c>
      <c r="I71">
        <v>15</v>
      </c>
      <c r="J71" s="3" t="str">
        <f>VLOOKUP(I71,User!A:D,4,0)</f>
        <v>문영길</v>
      </c>
      <c r="K71">
        <v>9</v>
      </c>
      <c r="L71">
        <v>4</v>
      </c>
      <c r="M71">
        <v>7</v>
      </c>
      <c r="N71">
        <v>10</v>
      </c>
      <c r="Q71" s="5" t="e">
        <f>VLOOKUP(A71,SaleList!E:G,3,0)</f>
        <v>#N/A</v>
      </c>
      <c r="R71" s="5" t="e">
        <f>VLOOKUP(A71,SaleList!E:H,4,0)</f>
        <v>#N/A</v>
      </c>
      <c r="S71" s="2" t="e">
        <f t="shared" si="5"/>
        <v>#N/A</v>
      </c>
    </row>
    <row r="72" spans="1:19">
      <c r="A72">
        <v>71</v>
      </c>
      <c r="B72" t="s">
        <v>221</v>
      </c>
      <c r="C72">
        <v>90000</v>
      </c>
      <c r="D72" s="2" t="e">
        <f>VLOOKUP(A72,SaleList!E:E,1,0)</f>
        <v>#N/A</v>
      </c>
      <c r="E72" s="2" t="e">
        <f>VLOOKUP(A72,SaleList!E:F,2,0)</f>
        <v>#N/A</v>
      </c>
      <c r="F72" s="2" t="e">
        <f t="shared" si="3"/>
        <v>#N/A</v>
      </c>
      <c r="G72" s="2">
        <f t="shared" si="4"/>
        <v>90000</v>
      </c>
      <c r="H72">
        <v>18</v>
      </c>
      <c r="I72">
        <v>19</v>
      </c>
      <c r="J72" s="3" t="str">
        <f>VLOOKUP(I72,User!A:D,4,0)</f>
        <v>박정수</v>
      </c>
      <c r="K72">
        <v>3</v>
      </c>
      <c r="L72">
        <v>2</v>
      </c>
      <c r="M72">
        <v>8</v>
      </c>
      <c r="N72">
        <v>1</v>
      </c>
      <c r="Q72" s="5" t="e">
        <f>VLOOKUP(A72,SaleList!E:G,3,0)</f>
        <v>#N/A</v>
      </c>
      <c r="R72" s="5" t="e">
        <f>VLOOKUP(A72,SaleList!E:H,4,0)</f>
        <v>#N/A</v>
      </c>
      <c r="S72" s="2" t="e">
        <f t="shared" si="5"/>
        <v>#N/A</v>
      </c>
    </row>
    <row r="73" spans="1:19">
      <c r="A73">
        <v>72</v>
      </c>
      <c r="B73" t="s">
        <v>222</v>
      </c>
      <c r="C73">
        <v>5000</v>
      </c>
      <c r="D73" s="2">
        <f>VLOOKUP(A73,SaleList!E:E,1,0)</f>
        <v>72</v>
      </c>
      <c r="E73" s="2">
        <f>VLOOKUP(A73,SaleList!E:F,2,0)</f>
        <v>20</v>
      </c>
      <c r="F73" s="2">
        <f t="shared" si="3"/>
        <v>4000</v>
      </c>
      <c r="G73" s="2">
        <f t="shared" si="4"/>
        <v>4000</v>
      </c>
      <c r="H73">
        <v>18</v>
      </c>
      <c r="I73">
        <v>2</v>
      </c>
      <c r="J73" s="3" t="str">
        <f>VLOOKUP(I73,User!A:D,4,0)</f>
        <v>이예은</v>
      </c>
      <c r="K73">
        <v>6</v>
      </c>
      <c r="L73">
        <v>5</v>
      </c>
      <c r="M73">
        <v>6</v>
      </c>
      <c r="N73">
        <v>3</v>
      </c>
      <c r="Q73" s="5">
        <f>VLOOKUP(A73,SaleList!E:G,3,0)</f>
        <v>45747</v>
      </c>
      <c r="R73" s="5">
        <f>VLOOKUP(A73,SaleList!E:H,4,0)</f>
        <v>45749</v>
      </c>
      <c r="S73" s="2">
        <f t="shared" si="5"/>
        <v>1</v>
      </c>
    </row>
    <row r="74" spans="1:19">
      <c r="A74">
        <v>73</v>
      </c>
      <c r="B74" t="s">
        <v>223</v>
      </c>
      <c r="C74">
        <v>95000</v>
      </c>
      <c r="D74" s="2" t="e">
        <f>VLOOKUP(A74,SaleList!E:E,1,0)</f>
        <v>#N/A</v>
      </c>
      <c r="E74" s="2" t="e">
        <f>VLOOKUP(A74,SaleList!E:F,2,0)</f>
        <v>#N/A</v>
      </c>
      <c r="F74" s="2" t="e">
        <f t="shared" si="3"/>
        <v>#N/A</v>
      </c>
      <c r="G74" s="2">
        <f t="shared" si="4"/>
        <v>95000</v>
      </c>
      <c r="H74">
        <v>19</v>
      </c>
      <c r="I74">
        <v>3</v>
      </c>
      <c r="J74" s="3" t="str">
        <f>VLOOKUP(I74,User!A:D,4,0)</f>
        <v>강수빈</v>
      </c>
      <c r="K74">
        <v>7</v>
      </c>
      <c r="L74">
        <v>5</v>
      </c>
      <c r="M74">
        <v>4</v>
      </c>
      <c r="N74">
        <v>10</v>
      </c>
      <c r="Q74" s="5" t="e">
        <f>VLOOKUP(A74,SaleList!E:G,3,0)</f>
        <v>#N/A</v>
      </c>
      <c r="R74" s="5" t="e">
        <f>VLOOKUP(A74,SaleList!E:H,4,0)</f>
        <v>#N/A</v>
      </c>
      <c r="S74" s="2" t="e">
        <f t="shared" si="5"/>
        <v>#N/A</v>
      </c>
    </row>
    <row r="75" spans="1:19">
      <c r="A75">
        <v>74</v>
      </c>
      <c r="B75" t="s">
        <v>224</v>
      </c>
      <c r="C75">
        <v>95000</v>
      </c>
      <c r="D75" s="2" t="e">
        <f>VLOOKUP(A75,SaleList!E:E,1,0)</f>
        <v>#N/A</v>
      </c>
      <c r="E75" s="2" t="e">
        <f>VLOOKUP(A75,SaleList!E:F,2,0)</f>
        <v>#N/A</v>
      </c>
      <c r="F75" s="2" t="e">
        <f t="shared" si="3"/>
        <v>#N/A</v>
      </c>
      <c r="G75" s="2">
        <f t="shared" si="4"/>
        <v>95000</v>
      </c>
      <c r="H75">
        <v>19</v>
      </c>
      <c r="I75">
        <v>25</v>
      </c>
      <c r="J75" s="3" t="str">
        <f>VLOOKUP(I75,User!A:D,4,0)</f>
        <v>김영미</v>
      </c>
      <c r="K75">
        <v>2</v>
      </c>
      <c r="L75">
        <v>5</v>
      </c>
      <c r="M75">
        <v>7</v>
      </c>
      <c r="N75">
        <v>4</v>
      </c>
      <c r="Q75" s="5" t="e">
        <f>VLOOKUP(A75,SaleList!E:G,3,0)</f>
        <v>#N/A</v>
      </c>
      <c r="R75" s="5" t="e">
        <f>VLOOKUP(A75,SaleList!E:H,4,0)</f>
        <v>#N/A</v>
      </c>
      <c r="S75" s="2" t="e">
        <f t="shared" si="5"/>
        <v>#N/A</v>
      </c>
    </row>
    <row r="76" spans="1:19">
      <c r="A76">
        <v>75</v>
      </c>
      <c r="B76" t="s">
        <v>225</v>
      </c>
      <c r="C76">
        <v>45000</v>
      </c>
      <c r="D76" s="2" t="e">
        <f>VLOOKUP(A76,SaleList!E:E,1,0)</f>
        <v>#N/A</v>
      </c>
      <c r="E76" s="2" t="e">
        <f>VLOOKUP(A76,SaleList!E:F,2,0)</f>
        <v>#N/A</v>
      </c>
      <c r="F76" s="2" t="e">
        <f t="shared" si="3"/>
        <v>#N/A</v>
      </c>
      <c r="G76" s="2">
        <f t="shared" si="4"/>
        <v>45000</v>
      </c>
      <c r="H76">
        <v>19</v>
      </c>
      <c r="I76">
        <v>4</v>
      </c>
      <c r="J76" s="3" t="str">
        <f>VLOOKUP(I76,User!A:D,4,0)</f>
        <v>윤예지</v>
      </c>
      <c r="K76">
        <v>0</v>
      </c>
      <c r="L76">
        <v>2</v>
      </c>
      <c r="M76">
        <v>3</v>
      </c>
      <c r="N76">
        <v>10</v>
      </c>
      <c r="Q76" s="5" t="e">
        <f>VLOOKUP(A76,SaleList!E:G,3,0)</f>
        <v>#N/A</v>
      </c>
      <c r="R76" s="5" t="e">
        <f>VLOOKUP(A76,SaleList!E:H,4,0)</f>
        <v>#N/A</v>
      </c>
      <c r="S76" s="2" t="e">
        <f t="shared" si="5"/>
        <v>#N/A</v>
      </c>
    </row>
    <row r="77" spans="1:19">
      <c r="A77">
        <v>76</v>
      </c>
      <c r="B77" t="s">
        <v>226</v>
      </c>
      <c r="C77">
        <v>45000</v>
      </c>
      <c r="D77" s="2" t="e">
        <f>VLOOKUP(A77,SaleList!E:E,1,0)</f>
        <v>#N/A</v>
      </c>
      <c r="E77" s="2" t="e">
        <f>VLOOKUP(A77,SaleList!E:F,2,0)</f>
        <v>#N/A</v>
      </c>
      <c r="F77" s="2" t="e">
        <f t="shared" si="3"/>
        <v>#N/A</v>
      </c>
      <c r="G77" s="2">
        <f t="shared" si="4"/>
        <v>45000</v>
      </c>
      <c r="H77">
        <v>19</v>
      </c>
      <c r="I77">
        <v>23</v>
      </c>
      <c r="J77" s="3" t="str">
        <f>VLOOKUP(I77,User!A:D,4,0)</f>
        <v>전예진</v>
      </c>
      <c r="K77">
        <v>3</v>
      </c>
      <c r="L77">
        <v>5</v>
      </c>
      <c r="M77">
        <v>5</v>
      </c>
      <c r="N77">
        <v>1</v>
      </c>
      <c r="Q77" s="5" t="e">
        <f>VLOOKUP(A77,SaleList!E:G,3,0)</f>
        <v>#N/A</v>
      </c>
      <c r="R77" s="5" t="e">
        <f>VLOOKUP(A77,SaleList!E:H,4,0)</f>
        <v>#N/A</v>
      </c>
      <c r="S77" s="2" t="e">
        <f t="shared" si="5"/>
        <v>#N/A</v>
      </c>
    </row>
    <row r="78" spans="1:19">
      <c r="A78">
        <v>77</v>
      </c>
      <c r="B78" t="s">
        <v>227</v>
      </c>
      <c r="C78">
        <v>45000</v>
      </c>
      <c r="D78" s="2" t="e">
        <f>VLOOKUP(A78,SaleList!E:E,1,0)</f>
        <v>#N/A</v>
      </c>
      <c r="E78" s="2" t="e">
        <f>VLOOKUP(A78,SaleList!E:F,2,0)</f>
        <v>#N/A</v>
      </c>
      <c r="F78" s="2" t="e">
        <f t="shared" si="3"/>
        <v>#N/A</v>
      </c>
      <c r="G78" s="2">
        <f t="shared" si="4"/>
        <v>45000</v>
      </c>
      <c r="H78">
        <v>20</v>
      </c>
      <c r="I78">
        <v>3</v>
      </c>
      <c r="J78" s="3" t="str">
        <f>VLOOKUP(I78,User!A:D,4,0)</f>
        <v>강수빈</v>
      </c>
      <c r="K78">
        <v>5</v>
      </c>
      <c r="L78">
        <v>7</v>
      </c>
      <c r="M78">
        <v>3</v>
      </c>
      <c r="N78">
        <v>7</v>
      </c>
      <c r="Q78" s="5" t="e">
        <f>VLOOKUP(A78,SaleList!E:G,3,0)</f>
        <v>#N/A</v>
      </c>
      <c r="R78" s="5" t="e">
        <f>VLOOKUP(A78,SaleList!E:H,4,0)</f>
        <v>#N/A</v>
      </c>
      <c r="S78" s="2" t="e">
        <f t="shared" si="5"/>
        <v>#N/A</v>
      </c>
    </row>
    <row r="79" spans="1:19">
      <c r="A79">
        <v>78</v>
      </c>
      <c r="B79" t="s">
        <v>228</v>
      </c>
      <c r="C79">
        <v>5000</v>
      </c>
      <c r="D79" s="2" t="e">
        <f>VLOOKUP(A79,SaleList!E:E,1,0)</f>
        <v>#N/A</v>
      </c>
      <c r="E79" s="2" t="e">
        <f>VLOOKUP(A79,SaleList!E:F,2,0)</f>
        <v>#N/A</v>
      </c>
      <c r="F79" s="2" t="e">
        <f t="shared" si="3"/>
        <v>#N/A</v>
      </c>
      <c r="G79" s="2">
        <f t="shared" si="4"/>
        <v>5000</v>
      </c>
      <c r="H79">
        <v>20</v>
      </c>
      <c r="I79">
        <v>4</v>
      </c>
      <c r="J79" s="3" t="str">
        <f>VLOOKUP(I79,User!A:D,4,0)</f>
        <v>윤예지</v>
      </c>
      <c r="K79">
        <v>9</v>
      </c>
      <c r="L79">
        <v>7</v>
      </c>
      <c r="M79">
        <v>6</v>
      </c>
      <c r="N79">
        <v>4</v>
      </c>
      <c r="Q79" s="5" t="e">
        <f>VLOOKUP(A79,SaleList!E:G,3,0)</f>
        <v>#N/A</v>
      </c>
      <c r="R79" s="5" t="e">
        <f>VLOOKUP(A79,SaleList!E:H,4,0)</f>
        <v>#N/A</v>
      </c>
      <c r="S79" s="2" t="e">
        <f t="shared" si="5"/>
        <v>#N/A</v>
      </c>
    </row>
    <row r="80" spans="1:19">
      <c r="A80">
        <v>79</v>
      </c>
      <c r="B80" t="s">
        <v>229</v>
      </c>
      <c r="C80">
        <v>60000</v>
      </c>
      <c r="D80" s="2" t="e">
        <f>VLOOKUP(A80,SaleList!E:E,1,0)</f>
        <v>#N/A</v>
      </c>
      <c r="E80" s="2" t="e">
        <f>VLOOKUP(A80,SaleList!E:F,2,0)</f>
        <v>#N/A</v>
      </c>
      <c r="F80" s="2" t="e">
        <f t="shared" si="3"/>
        <v>#N/A</v>
      </c>
      <c r="G80" s="2">
        <f t="shared" si="4"/>
        <v>60000</v>
      </c>
      <c r="H80">
        <v>20</v>
      </c>
      <c r="I80">
        <v>23</v>
      </c>
      <c r="J80" s="3" t="str">
        <f>VLOOKUP(I80,User!A:D,4,0)</f>
        <v>전예진</v>
      </c>
      <c r="K80">
        <v>10</v>
      </c>
      <c r="L80">
        <v>6</v>
      </c>
      <c r="M80">
        <v>4</v>
      </c>
      <c r="N80">
        <v>0</v>
      </c>
      <c r="Q80" s="5" t="e">
        <f>VLOOKUP(A80,SaleList!E:G,3,0)</f>
        <v>#N/A</v>
      </c>
      <c r="R80" s="5" t="e">
        <f>VLOOKUP(A80,SaleList!E:H,4,0)</f>
        <v>#N/A</v>
      </c>
      <c r="S80" s="2" t="e">
        <f t="shared" si="5"/>
        <v>#N/A</v>
      </c>
    </row>
    <row r="81" spans="1:19">
      <c r="A81">
        <v>80</v>
      </c>
      <c r="B81" t="s">
        <v>230</v>
      </c>
      <c r="C81">
        <v>40000</v>
      </c>
      <c r="D81" s="2" t="e">
        <f>VLOOKUP(A81,SaleList!E:E,1,0)</f>
        <v>#N/A</v>
      </c>
      <c r="E81" s="2" t="e">
        <f>VLOOKUP(A81,SaleList!E:F,2,0)</f>
        <v>#N/A</v>
      </c>
      <c r="F81" s="2" t="e">
        <f t="shared" si="3"/>
        <v>#N/A</v>
      </c>
      <c r="G81" s="2">
        <f t="shared" si="4"/>
        <v>40000</v>
      </c>
      <c r="H81">
        <v>20</v>
      </c>
      <c r="I81">
        <v>16</v>
      </c>
      <c r="J81" s="3" t="str">
        <f>VLOOKUP(I81,User!A:D,4,0)</f>
        <v>우정식</v>
      </c>
      <c r="K81">
        <v>4</v>
      </c>
      <c r="L81">
        <v>1</v>
      </c>
      <c r="M81">
        <v>7</v>
      </c>
      <c r="N81">
        <v>10</v>
      </c>
      <c r="Q81" s="5" t="e">
        <f>VLOOKUP(A81,SaleList!E:G,3,0)</f>
        <v>#N/A</v>
      </c>
      <c r="R81" s="5" t="e">
        <f>VLOOKUP(A81,SaleList!E:H,4,0)</f>
        <v>#N/A</v>
      </c>
      <c r="S81" s="2" t="e">
        <f t="shared" si="5"/>
        <v>#N/A</v>
      </c>
    </row>
    <row r="82" spans="1:19">
      <c r="A82">
        <v>81</v>
      </c>
      <c r="B82" t="s">
        <v>231</v>
      </c>
      <c r="C82">
        <v>35000</v>
      </c>
      <c r="D82" s="2" t="e">
        <f>VLOOKUP(A82,SaleList!E:E,1,0)</f>
        <v>#N/A</v>
      </c>
      <c r="E82" s="2" t="e">
        <f>VLOOKUP(A82,SaleList!E:F,2,0)</f>
        <v>#N/A</v>
      </c>
      <c r="F82" s="2" t="e">
        <f t="shared" si="3"/>
        <v>#N/A</v>
      </c>
      <c r="G82" s="2">
        <f t="shared" si="4"/>
        <v>35000</v>
      </c>
      <c r="H82">
        <v>21</v>
      </c>
      <c r="I82">
        <v>27</v>
      </c>
      <c r="J82" s="3" t="str">
        <f>VLOOKUP(I82,User!A:D,4,0)</f>
        <v>김정희</v>
      </c>
      <c r="K82">
        <v>4</v>
      </c>
      <c r="L82">
        <v>6</v>
      </c>
      <c r="M82">
        <v>3</v>
      </c>
      <c r="N82">
        <v>2</v>
      </c>
      <c r="Q82" s="5" t="e">
        <f>VLOOKUP(A82,SaleList!E:G,3,0)</f>
        <v>#N/A</v>
      </c>
      <c r="R82" s="5" t="e">
        <f>VLOOKUP(A82,SaleList!E:H,4,0)</f>
        <v>#N/A</v>
      </c>
      <c r="S82" s="2" t="e">
        <f t="shared" si="5"/>
        <v>#N/A</v>
      </c>
    </row>
    <row r="83" spans="1:19">
      <c r="A83">
        <v>82</v>
      </c>
      <c r="B83" t="s">
        <v>232</v>
      </c>
      <c r="C83">
        <v>35000</v>
      </c>
      <c r="D83" s="2" t="e">
        <f>VLOOKUP(A83,SaleList!E:E,1,0)</f>
        <v>#N/A</v>
      </c>
      <c r="E83" s="2" t="e">
        <f>VLOOKUP(A83,SaleList!E:F,2,0)</f>
        <v>#N/A</v>
      </c>
      <c r="F83" s="2" t="e">
        <f t="shared" si="3"/>
        <v>#N/A</v>
      </c>
      <c r="G83" s="2">
        <f t="shared" si="4"/>
        <v>35000</v>
      </c>
      <c r="H83">
        <v>21</v>
      </c>
      <c r="I83">
        <v>24</v>
      </c>
      <c r="J83" s="3" t="str">
        <f>VLOOKUP(I83,User!A:D,4,0)</f>
        <v>박은정</v>
      </c>
      <c r="K83">
        <v>6</v>
      </c>
      <c r="L83">
        <v>7</v>
      </c>
      <c r="M83">
        <v>0</v>
      </c>
      <c r="N83">
        <v>10</v>
      </c>
      <c r="Q83" s="5" t="e">
        <f>VLOOKUP(A83,SaleList!E:G,3,0)</f>
        <v>#N/A</v>
      </c>
      <c r="R83" s="5" t="e">
        <f>VLOOKUP(A83,SaleList!E:H,4,0)</f>
        <v>#N/A</v>
      </c>
      <c r="S83" s="2" t="e">
        <f t="shared" si="5"/>
        <v>#N/A</v>
      </c>
    </row>
    <row r="84" spans="1:19">
      <c r="A84">
        <v>83</v>
      </c>
      <c r="B84" t="s">
        <v>233</v>
      </c>
      <c r="C84">
        <v>50000</v>
      </c>
      <c r="D84" s="2">
        <f>VLOOKUP(A84,SaleList!E:E,1,0)</f>
        <v>83</v>
      </c>
      <c r="E84" s="2">
        <f>VLOOKUP(A84,SaleList!E:F,2,0)</f>
        <v>10</v>
      </c>
      <c r="F84" s="2">
        <f t="shared" si="3"/>
        <v>45000</v>
      </c>
      <c r="G84" s="2">
        <f t="shared" si="4"/>
        <v>45000</v>
      </c>
      <c r="H84">
        <v>21</v>
      </c>
      <c r="I84">
        <v>22</v>
      </c>
      <c r="J84" s="3" t="str">
        <f>VLOOKUP(I84,User!A:D,4,0)</f>
        <v>손현우</v>
      </c>
      <c r="K84">
        <v>4</v>
      </c>
      <c r="L84">
        <v>2</v>
      </c>
      <c r="M84">
        <v>5</v>
      </c>
      <c r="N84">
        <v>7</v>
      </c>
      <c r="Q84" s="5">
        <f>VLOOKUP(A84,SaleList!E:G,3,0)</f>
        <v>45748</v>
      </c>
      <c r="R84" s="5">
        <f>VLOOKUP(A84,SaleList!E:H,4,0)</f>
        <v>45752</v>
      </c>
      <c r="S84" s="2">
        <f t="shared" si="5"/>
        <v>1</v>
      </c>
    </row>
    <row r="85" spans="1:19">
      <c r="A85">
        <v>84</v>
      </c>
      <c r="B85" t="s">
        <v>234</v>
      </c>
      <c r="C85">
        <v>80000</v>
      </c>
      <c r="D85" s="2" t="e">
        <f>VLOOKUP(A85,SaleList!E:E,1,0)</f>
        <v>#N/A</v>
      </c>
      <c r="E85" s="2" t="e">
        <f>VLOOKUP(A85,SaleList!E:F,2,0)</f>
        <v>#N/A</v>
      </c>
      <c r="F85" s="2" t="e">
        <f t="shared" si="3"/>
        <v>#N/A</v>
      </c>
      <c r="G85" s="2">
        <f t="shared" si="4"/>
        <v>80000</v>
      </c>
      <c r="H85">
        <v>21</v>
      </c>
      <c r="I85">
        <v>21</v>
      </c>
      <c r="J85" s="3" t="str">
        <f>VLOOKUP(I85,User!A:D,4,0)</f>
        <v>김현정</v>
      </c>
      <c r="K85">
        <v>4</v>
      </c>
      <c r="L85">
        <v>3</v>
      </c>
      <c r="M85">
        <v>9</v>
      </c>
      <c r="N85">
        <v>4</v>
      </c>
      <c r="Q85" s="5" t="e">
        <f>VLOOKUP(A85,SaleList!E:G,3,0)</f>
        <v>#N/A</v>
      </c>
      <c r="R85" s="5" t="e">
        <f>VLOOKUP(A85,SaleList!E:H,4,0)</f>
        <v>#N/A</v>
      </c>
      <c r="S85" s="2" t="e">
        <f t="shared" si="5"/>
        <v>#N/A</v>
      </c>
    </row>
    <row r="86" spans="1:19">
      <c r="A86">
        <v>85</v>
      </c>
      <c r="B86" t="s">
        <v>235</v>
      </c>
      <c r="C86">
        <v>80000</v>
      </c>
      <c r="D86" s="2" t="e">
        <f>VLOOKUP(A86,SaleList!E:E,1,0)</f>
        <v>#N/A</v>
      </c>
      <c r="E86" s="2" t="e">
        <f>VLOOKUP(A86,SaleList!E:F,2,0)</f>
        <v>#N/A</v>
      </c>
      <c r="F86" s="2" t="e">
        <f t="shared" si="3"/>
        <v>#N/A</v>
      </c>
      <c r="G86" s="2">
        <f t="shared" si="4"/>
        <v>80000</v>
      </c>
      <c r="H86">
        <v>22</v>
      </c>
      <c r="I86">
        <v>17</v>
      </c>
      <c r="J86" s="3" t="str">
        <f>VLOOKUP(I86,User!A:D,4,0)</f>
        <v>김준서</v>
      </c>
      <c r="K86">
        <v>3</v>
      </c>
      <c r="L86">
        <v>1</v>
      </c>
      <c r="M86">
        <v>3</v>
      </c>
      <c r="N86">
        <v>0</v>
      </c>
      <c r="Q86" s="5" t="e">
        <f>VLOOKUP(A86,SaleList!E:G,3,0)</f>
        <v>#N/A</v>
      </c>
      <c r="R86" s="5" t="e">
        <f>VLOOKUP(A86,SaleList!E:H,4,0)</f>
        <v>#N/A</v>
      </c>
      <c r="S86" s="2" t="e">
        <f t="shared" si="5"/>
        <v>#N/A</v>
      </c>
    </row>
    <row r="87" spans="1:19">
      <c r="A87">
        <v>86</v>
      </c>
      <c r="B87" t="s">
        <v>236</v>
      </c>
      <c r="C87">
        <v>30000</v>
      </c>
      <c r="D87" s="2" t="e">
        <f>VLOOKUP(A87,SaleList!E:E,1,0)</f>
        <v>#N/A</v>
      </c>
      <c r="E87" s="2" t="e">
        <f>VLOOKUP(A87,SaleList!E:F,2,0)</f>
        <v>#N/A</v>
      </c>
      <c r="F87" s="2" t="e">
        <f t="shared" si="3"/>
        <v>#N/A</v>
      </c>
      <c r="G87" s="2">
        <f t="shared" si="4"/>
        <v>30000</v>
      </c>
      <c r="H87">
        <v>22</v>
      </c>
      <c r="I87">
        <v>18</v>
      </c>
      <c r="J87" s="3" t="str">
        <f>VLOOKUP(I87,User!A:D,4,0)</f>
        <v>김우진</v>
      </c>
      <c r="K87">
        <v>4</v>
      </c>
      <c r="L87">
        <v>9</v>
      </c>
      <c r="M87">
        <v>7</v>
      </c>
      <c r="N87">
        <v>2</v>
      </c>
      <c r="Q87" s="5" t="e">
        <f>VLOOKUP(A87,SaleList!E:G,3,0)</f>
        <v>#N/A</v>
      </c>
      <c r="R87" s="5" t="e">
        <f>VLOOKUP(A87,SaleList!E:H,4,0)</f>
        <v>#N/A</v>
      </c>
      <c r="S87" s="2" t="e">
        <f t="shared" si="5"/>
        <v>#N/A</v>
      </c>
    </row>
    <row r="88" spans="1:19">
      <c r="A88">
        <v>87</v>
      </c>
      <c r="B88" t="s">
        <v>237</v>
      </c>
      <c r="C88">
        <v>60000</v>
      </c>
      <c r="D88" s="2" t="e">
        <f>VLOOKUP(A88,SaleList!E:E,1,0)</f>
        <v>#N/A</v>
      </c>
      <c r="E88" s="2" t="e">
        <f>VLOOKUP(A88,SaleList!E:F,2,0)</f>
        <v>#N/A</v>
      </c>
      <c r="F88" s="2" t="e">
        <f t="shared" si="3"/>
        <v>#N/A</v>
      </c>
      <c r="G88" s="2">
        <f t="shared" si="4"/>
        <v>60000</v>
      </c>
      <c r="H88">
        <v>22</v>
      </c>
      <c r="I88">
        <v>23</v>
      </c>
      <c r="J88" s="3" t="str">
        <f>VLOOKUP(I88,User!A:D,4,0)</f>
        <v>전예진</v>
      </c>
      <c r="K88">
        <v>4</v>
      </c>
      <c r="L88">
        <v>5</v>
      </c>
      <c r="M88">
        <v>5</v>
      </c>
      <c r="N88">
        <v>6</v>
      </c>
      <c r="Q88" s="5" t="e">
        <f>VLOOKUP(A88,SaleList!E:G,3,0)</f>
        <v>#N/A</v>
      </c>
      <c r="R88" s="5" t="e">
        <f>VLOOKUP(A88,SaleList!E:H,4,0)</f>
        <v>#N/A</v>
      </c>
      <c r="S88" s="2" t="e">
        <f t="shared" si="5"/>
        <v>#N/A</v>
      </c>
    </row>
    <row r="89" spans="1:19">
      <c r="A89">
        <v>88</v>
      </c>
      <c r="B89" t="s">
        <v>238</v>
      </c>
      <c r="C89">
        <v>50000</v>
      </c>
      <c r="D89" s="2" t="e">
        <f>VLOOKUP(A89,SaleList!E:E,1,0)</f>
        <v>#N/A</v>
      </c>
      <c r="E89" s="2" t="e">
        <f>VLOOKUP(A89,SaleList!E:F,2,0)</f>
        <v>#N/A</v>
      </c>
      <c r="F89" s="2" t="e">
        <f t="shared" si="3"/>
        <v>#N/A</v>
      </c>
      <c r="G89" s="2">
        <f t="shared" si="4"/>
        <v>50000</v>
      </c>
      <c r="H89">
        <v>22</v>
      </c>
      <c r="I89">
        <v>23</v>
      </c>
      <c r="J89" s="3" t="str">
        <f>VLOOKUP(I89,User!A:D,4,0)</f>
        <v>전예진</v>
      </c>
      <c r="K89">
        <v>8</v>
      </c>
      <c r="L89">
        <v>9</v>
      </c>
      <c r="M89">
        <v>5</v>
      </c>
      <c r="N89">
        <v>9</v>
      </c>
      <c r="Q89" s="5" t="e">
        <f>VLOOKUP(A89,SaleList!E:G,3,0)</f>
        <v>#N/A</v>
      </c>
      <c r="R89" s="5" t="e">
        <f>VLOOKUP(A89,SaleList!E:H,4,0)</f>
        <v>#N/A</v>
      </c>
      <c r="S89" s="2" t="e">
        <f t="shared" si="5"/>
        <v>#N/A</v>
      </c>
    </row>
    <row r="90" spans="1:19">
      <c r="A90">
        <v>89</v>
      </c>
      <c r="B90" t="s">
        <v>239</v>
      </c>
      <c r="C90">
        <v>70000</v>
      </c>
      <c r="D90" s="2" t="e">
        <f>VLOOKUP(A90,SaleList!E:E,1,0)</f>
        <v>#N/A</v>
      </c>
      <c r="E90" s="2" t="e">
        <f>VLOOKUP(A90,SaleList!E:F,2,0)</f>
        <v>#N/A</v>
      </c>
      <c r="F90" s="2" t="e">
        <f t="shared" si="3"/>
        <v>#N/A</v>
      </c>
      <c r="G90" s="2">
        <f t="shared" si="4"/>
        <v>70000</v>
      </c>
      <c r="H90">
        <v>23</v>
      </c>
      <c r="I90">
        <v>17</v>
      </c>
      <c r="J90" s="3" t="str">
        <f>VLOOKUP(I90,User!A:D,4,0)</f>
        <v>김준서</v>
      </c>
      <c r="K90">
        <v>4</v>
      </c>
      <c r="L90">
        <v>9</v>
      </c>
      <c r="M90">
        <v>8</v>
      </c>
      <c r="N90">
        <v>2</v>
      </c>
      <c r="Q90" s="5" t="e">
        <f>VLOOKUP(A90,SaleList!E:G,3,0)</f>
        <v>#N/A</v>
      </c>
      <c r="R90" s="5" t="e">
        <f>VLOOKUP(A90,SaleList!E:H,4,0)</f>
        <v>#N/A</v>
      </c>
      <c r="S90" s="2" t="e">
        <f t="shared" si="5"/>
        <v>#N/A</v>
      </c>
    </row>
    <row r="91" spans="1:19">
      <c r="A91">
        <v>90</v>
      </c>
      <c r="B91" t="s">
        <v>240</v>
      </c>
      <c r="C91">
        <v>25000</v>
      </c>
      <c r="D91" s="2" t="e">
        <f>VLOOKUP(A91,SaleList!E:E,1,0)</f>
        <v>#N/A</v>
      </c>
      <c r="E91" s="2" t="e">
        <f>VLOOKUP(A91,SaleList!E:F,2,0)</f>
        <v>#N/A</v>
      </c>
      <c r="F91" s="2" t="e">
        <f t="shared" si="3"/>
        <v>#N/A</v>
      </c>
      <c r="G91" s="2">
        <f t="shared" si="4"/>
        <v>25000</v>
      </c>
      <c r="H91">
        <v>23</v>
      </c>
      <c r="I91">
        <v>21</v>
      </c>
      <c r="J91" s="3" t="str">
        <f>VLOOKUP(I91,User!A:D,4,0)</f>
        <v>김현정</v>
      </c>
      <c r="K91">
        <v>3</v>
      </c>
      <c r="L91">
        <v>2</v>
      </c>
      <c r="M91">
        <v>0</v>
      </c>
      <c r="N91">
        <v>4</v>
      </c>
      <c r="Q91" s="5" t="e">
        <f>VLOOKUP(A91,SaleList!E:G,3,0)</f>
        <v>#N/A</v>
      </c>
      <c r="R91" s="5" t="e">
        <f>VLOOKUP(A91,SaleList!E:H,4,0)</f>
        <v>#N/A</v>
      </c>
      <c r="S91" s="2" t="e">
        <f t="shared" si="5"/>
        <v>#N/A</v>
      </c>
    </row>
    <row r="92" spans="1:19">
      <c r="A92">
        <v>91</v>
      </c>
      <c r="B92" t="s">
        <v>241</v>
      </c>
      <c r="C92">
        <v>100000</v>
      </c>
      <c r="D92" s="2" t="e">
        <f>VLOOKUP(A92,SaleList!E:E,1,0)</f>
        <v>#N/A</v>
      </c>
      <c r="E92" s="2" t="e">
        <f>VLOOKUP(A92,SaleList!E:F,2,0)</f>
        <v>#N/A</v>
      </c>
      <c r="F92" s="2" t="e">
        <f t="shared" si="3"/>
        <v>#N/A</v>
      </c>
      <c r="G92" s="2">
        <f t="shared" si="4"/>
        <v>100000</v>
      </c>
      <c r="H92">
        <v>23</v>
      </c>
      <c r="I92">
        <v>1</v>
      </c>
      <c r="J92" s="3" t="str">
        <f>VLOOKUP(I92,User!A:D,4,0)</f>
        <v>손준서</v>
      </c>
      <c r="K92">
        <v>10</v>
      </c>
      <c r="L92">
        <v>0</v>
      </c>
      <c r="M92">
        <v>8</v>
      </c>
      <c r="N92">
        <v>9</v>
      </c>
      <c r="Q92" s="5" t="e">
        <f>VLOOKUP(A92,SaleList!E:G,3,0)</f>
        <v>#N/A</v>
      </c>
      <c r="R92" s="5" t="e">
        <f>VLOOKUP(A92,SaleList!E:H,4,0)</f>
        <v>#N/A</v>
      </c>
      <c r="S92" s="2" t="e">
        <f t="shared" si="5"/>
        <v>#N/A</v>
      </c>
    </row>
    <row r="93" spans="1:19">
      <c r="A93">
        <v>92</v>
      </c>
      <c r="B93" t="s">
        <v>242</v>
      </c>
      <c r="C93">
        <v>30000</v>
      </c>
      <c r="D93" s="2" t="e">
        <f>VLOOKUP(A93,SaleList!E:E,1,0)</f>
        <v>#N/A</v>
      </c>
      <c r="E93" s="2" t="e">
        <f>VLOOKUP(A93,SaleList!E:F,2,0)</f>
        <v>#N/A</v>
      </c>
      <c r="F93" s="2" t="e">
        <f t="shared" si="3"/>
        <v>#N/A</v>
      </c>
      <c r="G93" s="2">
        <f t="shared" si="4"/>
        <v>30000</v>
      </c>
      <c r="H93">
        <v>23</v>
      </c>
      <c r="I93">
        <v>21</v>
      </c>
      <c r="J93" s="3" t="str">
        <f>VLOOKUP(I93,User!A:D,4,0)</f>
        <v>김현정</v>
      </c>
      <c r="K93">
        <v>7</v>
      </c>
      <c r="L93">
        <v>9</v>
      </c>
      <c r="M93">
        <v>3</v>
      </c>
      <c r="N93">
        <v>9</v>
      </c>
      <c r="Q93" s="5" t="e">
        <f>VLOOKUP(A93,SaleList!E:G,3,0)</f>
        <v>#N/A</v>
      </c>
      <c r="R93" s="5" t="e">
        <f>VLOOKUP(A93,SaleList!E:H,4,0)</f>
        <v>#N/A</v>
      </c>
      <c r="S93" s="2" t="e">
        <f t="shared" si="5"/>
        <v>#N/A</v>
      </c>
    </row>
    <row r="94" spans="1:19">
      <c r="A94">
        <v>93</v>
      </c>
      <c r="B94" t="s">
        <v>243</v>
      </c>
      <c r="C94">
        <v>95000</v>
      </c>
      <c r="D94" s="2" t="e">
        <f>VLOOKUP(A94,SaleList!E:E,1,0)</f>
        <v>#N/A</v>
      </c>
      <c r="E94" s="2" t="e">
        <f>VLOOKUP(A94,SaleList!E:F,2,0)</f>
        <v>#N/A</v>
      </c>
      <c r="F94" s="2" t="e">
        <f t="shared" si="3"/>
        <v>#N/A</v>
      </c>
      <c r="G94" s="2">
        <f t="shared" si="4"/>
        <v>95000</v>
      </c>
      <c r="H94">
        <v>24</v>
      </c>
      <c r="I94">
        <v>8</v>
      </c>
      <c r="J94" s="3" t="str">
        <f>VLOOKUP(I94,User!A:D,4,0)</f>
        <v>이수민</v>
      </c>
      <c r="K94">
        <v>5</v>
      </c>
      <c r="L94">
        <v>1</v>
      </c>
      <c r="M94">
        <v>6</v>
      </c>
      <c r="N94">
        <v>5</v>
      </c>
      <c r="Q94" s="5" t="e">
        <f>VLOOKUP(A94,SaleList!E:G,3,0)</f>
        <v>#N/A</v>
      </c>
      <c r="R94" s="5" t="e">
        <f>VLOOKUP(A94,SaleList!E:H,4,0)</f>
        <v>#N/A</v>
      </c>
      <c r="S94" s="2" t="e">
        <f t="shared" si="5"/>
        <v>#N/A</v>
      </c>
    </row>
    <row r="95" spans="1:19">
      <c r="A95">
        <v>94</v>
      </c>
      <c r="B95" t="s">
        <v>244</v>
      </c>
      <c r="C95">
        <v>95000</v>
      </c>
      <c r="D95" s="2">
        <f>VLOOKUP(A95,SaleList!E:E,1,0)</f>
        <v>94</v>
      </c>
      <c r="E95" s="2">
        <f>VLOOKUP(A95,SaleList!E:F,2,0)</f>
        <v>35</v>
      </c>
      <c r="F95" s="2">
        <f t="shared" si="3"/>
        <v>61750</v>
      </c>
      <c r="G95" s="2">
        <f t="shared" si="4"/>
        <v>61750</v>
      </c>
      <c r="H95">
        <v>24</v>
      </c>
      <c r="I95">
        <v>16</v>
      </c>
      <c r="J95" s="3" t="str">
        <f>VLOOKUP(I95,User!A:D,4,0)</f>
        <v>우정식</v>
      </c>
      <c r="K95">
        <v>5</v>
      </c>
      <c r="L95">
        <v>9</v>
      </c>
      <c r="M95">
        <v>9</v>
      </c>
      <c r="N95">
        <v>4</v>
      </c>
      <c r="Q95" s="5">
        <f>VLOOKUP(A95,SaleList!E:G,3,0)</f>
        <v>45749</v>
      </c>
      <c r="R95" s="5">
        <f>VLOOKUP(A95,SaleList!E:H,4,0)</f>
        <v>45753</v>
      </c>
      <c r="S95" s="2">
        <f t="shared" si="5"/>
        <v>1</v>
      </c>
    </row>
    <row r="96" spans="1:19">
      <c r="A96">
        <v>95</v>
      </c>
      <c r="B96" t="s">
        <v>245</v>
      </c>
      <c r="C96">
        <v>90000</v>
      </c>
      <c r="D96" s="2" t="e">
        <f>VLOOKUP(A96,SaleList!E:E,1,0)</f>
        <v>#N/A</v>
      </c>
      <c r="E96" s="2" t="e">
        <f>VLOOKUP(A96,SaleList!E:F,2,0)</f>
        <v>#N/A</v>
      </c>
      <c r="F96" s="2" t="e">
        <f t="shared" si="3"/>
        <v>#N/A</v>
      </c>
      <c r="G96" s="2">
        <f t="shared" si="4"/>
        <v>90000</v>
      </c>
      <c r="H96">
        <v>24</v>
      </c>
      <c r="I96">
        <v>4</v>
      </c>
      <c r="J96" s="3" t="str">
        <f>VLOOKUP(I96,User!A:D,4,0)</f>
        <v>윤예지</v>
      </c>
      <c r="K96">
        <v>0</v>
      </c>
      <c r="L96">
        <v>10</v>
      </c>
      <c r="M96">
        <v>10</v>
      </c>
      <c r="N96">
        <v>10</v>
      </c>
      <c r="Q96" s="5" t="e">
        <f>VLOOKUP(A96,SaleList!E:G,3,0)</f>
        <v>#N/A</v>
      </c>
      <c r="R96" s="5" t="e">
        <f>VLOOKUP(A96,SaleList!E:H,4,0)</f>
        <v>#N/A</v>
      </c>
      <c r="S96" s="2" t="e">
        <f t="shared" si="5"/>
        <v>#N/A</v>
      </c>
    </row>
    <row r="97" spans="1:19">
      <c r="A97">
        <v>96</v>
      </c>
      <c r="B97" t="s">
        <v>246</v>
      </c>
      <c r="C97">
        <v>50000</v>
      </c>
      <c r="D97" s="2" t="e">
        <f>VLOOKUP(A97,SaleList!E:E,1,0)</f>
        <v>#N/A</v>
      </c>
      <c r="E97" s="2" t="e">
        <f>VLOOKUP(A97,SaleList!E:F,2,0)</f>
        <v>#N/A</v>
      </c>
      <c r="F97" s="2" t="e">
        <f t="shared" si="3"/>
        <v>#N/A</v>
      </c>
      <c r="G97" s="2">
        <f t="shared" si="4"/>
        <v>50000</v>
      </c>
      <c r="H97">
        <v>24</v>
      </c>
      <c r="I97">
        <v>11</v>
      </c>
      <c r="J97" s="3" t="str">
        <f>VLOOKUP(I97,User!A:D,4,0)</f>
        <v>고우진</v>
      </c>
      <c r="K97">
        <v>1</v>
      </c>
      <c r="L97">
        <v>0</v>
      </c>
      <c r="M97">
        <v>3</v>
      </c>
      <c r="N97">
        <v>4</v>
      </c>
      <c r="Q97" s="5" t="e">
        <f>VLOOKUP(A97,SaleList!E:G,3,0)</f>
        <v>#N/A</v>
      </c>
      <c r="R97" s="5" t="e">
        <f>VLOOKUP(A97,SaleList!E:H,4,0)</f>
        <v>#N/A</v>
      </c>
      <c r="S97" s="2" t="e">
        <f t="shared" si="5"/>
        <v>#N/A</v>
      </c>
    </row>
    <row r="98" spans="1:19">
      <c r="A98">
        <v>97</v>
      </c>
      <c r="B98" t="s">
        <v>247</v>
      </c>
      <c r="C98">
        <v>90000</v>
      </c>
      <c r="D98" s="2" t="e">
        <f>VLOOKUP(A98,SaleList!E:E,1,0)</f>
        <v>#N/A</v>
      </c>
      <c r="E98" s="2" t="e">
        <f>VLOOKUP(A98,SaleList!E:F,2,0)</f>
        <v>#N/A</v>
      </c>
      <c r="F98" s="2" t="e">
        <f t="shared" si="3"/>
        <v>#N/A</v>
      </c>
      <c r="G98" s="2">
        <f t="shared" si="4"/>
        <v>90000</v>
      </c>
      <c r="H98">
        <v>25</v>
      </c>
      <c r="I98">
        <v>6</v>
      </c>
      <c r="J98" s="3" t="str">
        <f>VLOOKUP(I98,User!A:D,4,0)</f>
        <v>이성민</v>
      </c>
      <c r="K98">
        <v>5</v>
      </c>
      <c r="L98">
        <v>6</v>
      </c>
      <c r="M98">
        <v>2</v>
      </c>
      <c r="N98">
        <v>9</v>
      </c>
      <c r="Q98" s="5" t="e">
        <f>VLOOKUP(A98,SaleList!E:G,3,0)</f>
        <v>#N/A</v>
      </c>
      <c r="R98" s="5" t="e">
        <f>VLOOKUP(A98,SaleList!E:H,4,0)</f>
        <v>#N/A</v>
      </c>
      <c r="S98" s="2" t="e">
        <f t="shared" si="5"/>
        <v>#N/A</v>
      </c>
    </row>
    <row r="99" spans="1:19">
      <c r="A99">
        <v>98</v>
      </c>
      <c r="B99" t="s">
        <v>248</v>
      </c>
      <c r="C99">
        <v>100000</v>
      </c>
      <c r="D99" s="2" t="e">
        <f>VLOOKUP(A99,SaleList!E:E,1,0)</f>
        <v>#N/A</v>
      </c>
      <c r="E99" s="2" t="e">
        <f>VLOOKUP(A99,SaleList!E:F,2,0)</f>
        <v>#N/A</v>
      </c>
      <c r="F99" s="2" t="e">
        <f t="shared" si="3"/>
        <v>#N/A</v>
      </c>
      <c r="G99" s="2">
        <f t="shared" si="4"/>
        <v>100000</v>
      </c>
      <c r="H99">
        <v>25</v>
      </c>
      <c r="I99">
        <v>28</v>
      </c>
      <c r="J99" s="3" t="str">
        <f>VLOOKUP(I99,User!A:D,4,0)</f>
        <v>류진우</v>
      </c>
      <c r="K99">
        <v>9</v>
      </c>
      <c r="L99">
        <v>0</v>
      </c>
      <c r="M99">
        <v>7</v>
      </c>
      <c r="N99">
        <v>10</v>
      </c>
      <c r="Q99" s="5" t="e">
        <f>VLOOKUP(A99,SaleList!E:G,3,0)</f>
        <v>#N/A</v>
      </c>
      <c r="R99" s="5" t="e">
        <f>VLOOKUP(A99,SaleList!E:H,4,0)</f>
        <v>#N/A</v>
      </c>
      <c r="S99" s="2" t="e">
        <f t="shared" si="5"/>
        <v>#N/A</v>
      </c>
    </row>
    <row r="100" spans="1:19">
      <c r="A100">
        <v>99</v>
      </c>
      <c r="B100" t="s">
        <v>249</v>
      </c>
      <c r="C100">
        <v>45000</v>
      </c>
      <c r="D100" s="2" t="e">
        <f>VLOOKUP(A100,SaleList!E:E,1,0)</f>
        <v>#N/A</v>
      </c>
      <c r="E100" s="2" t="e">
        <f>VLOOKUP(A100,SaleList!E:F,2,0)</f>
        <v>#N/A</v>
      </c>
      <c r="F100" s="2" t="e">
        <f t="shared" si="3"/>
        <v>#N/A</v>
      </c>
      <c r="G100" s="2">
        <f t="shared" si="4"/>
        <v>45000</v>
      </c>
      <c r="H100">
        <v>25</v>
      </c>
      <c r="I100">
        <v>2</v>
      </c>
      <c r="J100" s="3" t="str">
        <f>VLOOKUP(I100,User!A:D,4,0)</f>
        <v>이예은</v>
      </c>
      <c r="K100">
        <v>3</v>
      </c>
      <c r="L100">
        <v>10</v>
      </c>
      <c r="M100">
        <v>0</v>
      </c>
      <c r="N100">
        <v>8</v>
      </c>
      <c r="Q100" s="5" t="e">
        <f>VLOOKUP(A100,SaleList!E:G,3,0)</f>
        <v>#N/A</v>
      </c>
      <c r="R100" s="5" t="e">
        <f>VLOOKUP(A100,SaleList!E:H,4,0)</f>
        <v>#N/A</v>
      </c>
      <c r="S100" s="2" t="e">
        <f t="shared" si="5"/>
        <v>#N/A</v>
      </c>
    </row>
    <row r="101" spans="1:19">
      <c r="A101">
        <v>100</v>
      </c>
      <c r="B101" t="s">
        <v>250</v>
      </c>
      <c r="C101">
        <v>20000</v>
      </c>
      <c r="D101" s="2" t="e">
        <f>VLOOKUP(A101,SaleList!E:E,1,0)</f>
        <v>#N/A</v>
      </c>
      <c r="E101" s="2" t="e">
        <f>VLOOKUP(A101,SaleList!E:F,2,0)</f>
        <v>#N/A</v>
      </c>
      <c r="F101" s="2" t="e">
        <f t="shared" si="3"/>
        <v>#N/A</v>
      </c>
      <c r="G101" s="2">
        <f t="shared" si="4"/>
        <v>20000</v>
      </c>
      <c r="H101">
        <v>25</v>
      </c>
      <c r="I101">
        <v>10</v>
      </c>
      <c r="J101" s="3" t="str">
        <f>VLOOKUP(I101,User!A:D,4,0)</f>
        <v>김지연</v>
      </c>
      <c r="K101">
        <v>0</v>
      </c>
      <c r="L101">
        <v>4</v>
      </c>
      <c r="M101">
        <v>3</v>
      </c>
      <c r="N101">
        <v>1</v>
      </c>
      <c r="Q101" s="5" t="e">
        <f>VLOOKUP(A101,SaleList!E:G,3,0)</f>
        <v>#N/A</v>
      </c>
      <c r="R101" s="5" t="e">
        <f>VLOOKUP(A101,SaleList!E:H,4,0)</f>
        <v>#N/A</v>
      </c>
      <c r="S101" s="2" t="e">
        <f t="shared" si="5"/>
        <v>#N/A</v>
      </c>
    </row>
    <row r="102" spans="1:19">
      <c r="A102">
        <v>101</v>
      </c>
      <c r="B102" t="s">
        <v>251</v>
      </c>
      <c r="C102">
        <v>40000</v>
      </c>
      <c r="D102" s="2" t="e">
        <f>VLOOKUP(A102,SaleList!E:E,1,0)</f>
        <v>#N/A</v>
      </c>
      <c r="E102" s="2" t="e">
        <f>VLOOKUP(A102,SaleList!E:F,2,0)</f>
        <v>#N/A</v>
      </c>
      <c r="F102" s="2" t="e">
        <f t="shared" si="3"/>
        <v>#N/A</v>
      </c>
      <c r="G102" s="2">
        <f t="shared" si="4"/>
        <v>40000</v>
      </c>
      <c r="H102">
        <v>1</v>
      </c>
      <c r="I102">
        <v>17</v>
      </c>
      <c r="J102" s="3" t="str">
        <f>VLOOKUP(I102,User!A:D,4,0)</f>
        <v>김준서</v>
      </c>
      <c r="K102">
        <v>5</v>
      </c>
      <c r="L102">
        <v>8</v>
      </c>
      <c r="M102">
        <v>10</v>
      </c>
      <c r="N102">
        <v>5</v>
      </c>
      <c r="Q102" s="5" t="e">
        <f>VLOOKUP(A102,SaleList!E:G,3,0)</f>
        <v>#N/A</v>
      </c>
      <c r="R102" s="5" t="e">
        <f>VLOOKUP(A102,SaleList!E:H,4,0)</f>
        <v>#N/A</v>
      </c>
      <c r="S102" s="2" t="e">
        <f t="shared" si="5"/>
        <v>#N/A</v>
      </c>
    </row>
    <row r="103" spans="1:19">
      <c r="A103">
        <v>102</v>
      </c>
      <c r="B103" t="s">
        <v>252</v>
      </c>
      <c r="C103">
        <v>50000</v>
      </c>
      <c r="D103" s="2" t="e">
        <f>VLOOKUP(A103,SaleList!E:E,1,0)</f>
        <v>#N/A</v>
      </c>
      <c r="E103" s="2" t="e">
        <f>VLOOKUP(A103,SaleList!E:F,2,0)</f>
        <v>#N/A</v>
      </c>
      <c r="F103" s="2" t="e">
        <f t="shared" si="3"/>
        <v>#N/A</v>
      </c>
      <c r="G103" s="2">
        <f t="shared" si="4"/>
        <v>50000</v>
      </c>
      <c r="H103">
        <v>1</v>
      </c>
      <c r="I103">
        <v>11</v>
      </c>
      <c r="J103" s="3" t="str">
        <f>VLOOKUP(I103,User!A:D,4,0)</f>
        <v>고우진</v>
      </c>
      <c r="K103">
        <v>0</v>
      </c>
      <c r="L103">
        <v>4</v>
      </c>
      <c r="M103">
        <v>0</v>
      </c>
      <c r="N103">
        <v>7</v>
      </c>
      <c r="Q103" s="5" t="e">
        <f>VLOOKUP(A103,SaleList!E:G,3,0)</f>
        <v>#N/A</v>
      </c>
      <c r="R103" s="5" t="e">
        <f>VLOOKUP(A103,SaleList!E:H,4,0)</f>
        <v>#N/A</v>
      </c>
      <c r="S103" s="2" t="e">
        <f t="shared" si="5"/>
        <v>#N/A</v>
      </c>
    </row>
    <row r="104" spans="1:19">
      <c r="A104">
        <v>103</v>
      </c>
      <c r="B104" t="s">
        <v>253</v>
      </c>
      <c r="C104">
        <v>70000</v>
      </c>
      <c r="D104" s="2">
        <f>VLOOKUP(A104,SaleList!E:E,1,0)</f>
        <v>103</v>
      </c>
      <c r="E104" s="2">
        <f>VLOOKUP(A104,SaleList!E:F,2,0)</f>
        <v>40</v>
      </c>
      <c r="F104" s="2">
        <f t="shared" si="3"/>
        <v>42000</v>
      </c>
      <c r="G104" s="2">
        <f t="shared" si="4"/>
        <v>42000</v>
      </c>
      <c r="H104">
        <v>1</v>
      </c>
      <c r="I104">
        <v>28</v>
      </c>
      <c r="J104" s="3" t="str">
        <f>VLOOKUP(I104,User!A:D,4,0)</f>
        <v>류진우</v>
      </c>
      <c r="K104">
        <v>1</v>
      </c>
      <c r="L104">
        <v>3</v>
      </c>
      <c r="M104">
        <v>3</v>
      </c>
      <c r="N104">
        <v>0</v>
      </c>
      <c r="Q104" s="5">
        <f>VLOOKUP(A104,SaleList!E:G,3,0)</f>
        <v>45750</v>
      </c>
      <c r="R104" s="5">
        <f>VLOOKUP(A104,SaleList!E:H,4,0)</f>
        <v>45754</v>
      </c>
      <c r="S104" s="2">
        <f t="shared" si="5"/>
        <v>0</v>
      </c>
    </row>
    <row r="105" spans="1:19">
      <c r="A105">
        <v>104</v>
      </c>
      <c r="B105" t="s">
        <v>254</v>
      </c>
      <c r="C105">
        <v>95000</v>
      </c>
      <c r="D105" s="2" t="e">
        <f>VLOOKUP(A105,SaleList!E:E,1,0)</f>
        <v>#N/A</v>
      </c>
      <c r="E105" s="2" t="e">
        <f>VLOOKUP(A105,SaleList!E:F,2,0)</f>
        <v>#N/A</v>
      </c>
      <c r="F105" s="2" t="e">
        <f t="shared" si="3"/>
        <v>#N/A</v>
      </c>
      <c r="G105" s="2">
        <f t="shared" si="4"/>
        <v>95000</v>
      </c>
      <c r="H105">
        <v>1</v>
      </c>
      <c r="I105">
        <v>19</v>
      </c>
      <c r="J105" s="3" t="str">
        <f>VLOOKUP(I105,User!A:D,4,0)</f>
        <v>박정수</v>
      </c>
      <c r="K105">
        <v>2</v>
      </c>
      <c r="L105">
        <v>3</v>
      </c>
      <c r="M105">
        <v>6</v>
      </c>
      <c r="N105">
        <v>10</v>
      </c>
      <c r="Q105" s="5" t="e">
        <f>VLOOKUP(A105,SaleList!E:G,3,0)</f>
        <v>#N/A</v>
      </c>
      <c r="R105" s="5" t="e">
        <f>VLOOKUP(A105,SaleList!E:H,4,0)</f>
        <v>#N/A</v>
      </c>
      <c r="S105" s="2" t="e">
        <f t="shared" si="5"/>
        <v>#N/A</v>
      </c>
    </row>
    <row r="106" spans="1:19">
      <c r="A106">
        <v>105</v>
      </c>
      <c r="B106" t="s">
        <v>255</v>
      </c>
      <c r="C106">
        <v>75000</v>
      </c>
      <c r="D106" s="2" t="e">
        <f>VLOOKUP(A106,SaleList!E:E,1,0)</f>
        <v>#N/A</v>
      </c>
      <c r="E106" s="2" t="e">
        <f>VLOOKUP(A106,SaleList!E:F,2,0)</f>
        <v>#N/A</v>
      </c>
      <c r="F106" s="2" t="e">
        <f t="shared" si="3"/>
        <v>#N/A</v>
      </c>
      <c r="G106" s="2">
        <f t="shared" si="4"/>
        <v>75000</v>
      </c>
      <c r="H106">
        <v>2</v>
      </c>
      <c r="I106">
        <v>28</v>
      </c>
      <c r="J106" s="3" t="str">
        <f>VLOOKUP(I106,User!A:D,4,0)</f>
        <v>류진우</v>
      </c>
      <c r="K106">
        <v>4</v>
      </c>
      <c r="L106">
        <v>8</v>
      </c>
      <c r="M106">
        <v>1</v>
      </c>
      <c r="N106">
        <v>1</v>
      </c>
      <c r="Q106" s="5" t="e">
        <f>VLOOKUP(A106,SaleList!E:G,3,0)</f>
        <v>#N/A</v>
      </c>
      <c r="R106" s="5" t="e">
        <f>VLOOKUP(A106,SaleList!E:H,4,0)</f>
        <v>#N/A</v>
      </c>
      <c r="S106" s="2" t="e">
        <f t="shared" si="5"/>
        <v>#N/A</v>
      </c>
    </row>
    <row r="107" spans="1:19">
      <c r="A107">
        <v>106</v>
      </c>
      <c r="B107" t="s">
        <v>256</v>
      </c>
      <c r="C107">
        <v>100000</v>
      </c>
      <c r="D107" s="2" t="e">
        <f>VLOOKUP(A107,SaleList!E:E,1,0)</f>
        <v>#N/A</v>
      </c>
      <c r="E107" s="2" t="e">
        <f>VLOOKUP(A107,SaleList!E:F,2,0)</f>
        <v>#N/A</v>
      </c>
      <c r="F107" s="2" t="e">
        <f t="shared" si="3"/>
        <v>#N/A</v>
      </c>
      <c r="G107" s="2">
        <f t="shared" si="4"/>
        <v>100000</v>
      </c>
      <c r="H107">
        <v>2</v>
      </c>
      <c r="I107">
        <v>11</v>
      </c>
      <c r="J107" s="3" t="str">
        <f>VLOOKUP(I107,User!A:D,4,0)</f>
        <v>고우진</v>
      </c>
      <c r="K107">
        <v>2</v>
      </c>
      <c r="L107">
        <v>8</v>
      </c>
      <c r="M107">
        <v>9</v>
      </c>
      <c r="N107">
        <v>10</v>
      </c>
      <c r="Q107" s="5" t="e">
        <f>VLOOKUP(A107,SaleList!E:G,3,0)</f>
        <v>#N/A</v>
      </c>
      <c r="R107" s="5" t="e">
        <f>VLOOKUP(A107,SaleList!E:H,4,0)</f>
        <v>#N/A</v>
      </c>
      <c r="S107" s="2" t="e">
        <f t="shared" si="5"/>
        <v>#N/A</v>
      </c>
    </row>
    <row r="108" spans="1:19">
      <c r="A108">
        <v>107</v>
      </c>
      <c r="B108" t="s">
        <v>257</v>
      </c>
      <c r="C108">
        <v>50000</v>
      </c>
      <c r="D108" s="2" t="e">
        <f>VLOOKUP(A108,SaleList!E:E,1,0)</f>
        <v>#N/A</v>
      </c>
      <c r="E108" s="2" t="e">
        <f>VLOOKUP(A108,SaleList!E:F,2,0)</f>
        <v>#N/A</v>
      </c>
      <c r="F108" s="2" t="e">
        <f t="shared" si="3"/>
        <v>#N/A</v>
      </c>
      <c r="G108" s="2">
        <f t="shared" si="4"/>
        <v>50000</v>
      </c>
      <c r="H108">
        <v>2</v>
      </c>
      <c r="I108">
        <v>28</v>
      </c>
      <c r="J108" s="3" t="str">
        <f>VLOOKUP(I108,User!A:D,4,0)</f>
        <v>류진우</v>
      </c>
      <c r="K108">
        <v>0</v>
      </c>
      <c r="L108">
        <v>7</v>
      </c>
      <c r="M108">
        <v>2</v>
      </c>
      <c r="N108">
        <v>3</v>
      </c>
      <c r="Q108" s="5" t="e">
        <f>VLOOKUP(A108,SaleList!E:G,3,0)</f>
        <v>#N/A</v>
      </c>
      <c r="R108" s="5" t="e">
        <f>VLOOKUP(A108,SaleList!E:H,4,0)</f>
        <v>#N/A</v>
      </c>
      <c r="S108" s="2" t="e">
        <f t="shared" si="5"/>
        <v>#N/A</v>
      </c>
    </row>
    <row r="109" spans="1:19">
      <c r="A109">
        <v>108</v>
      </c>
      <c r="B109" t="s">
        <v>258</v>
      </c>
      <c r="C109">
        <v>30000</v>
      </c>
      <c r="D109" s="2" t="e">
        <f>VLOOKUP(A109,SaleList!E:E,1,0)</f>
        <v>#N/A</v>
      </c>
      <c r="E109" s="2" t="e">
        <f>VLOOKUP(A109,SaleList!E:F,2,0)</f>
        <v>#N/A</v>
      </c>
      <c r="F109" s="2" t="e">
        <f t="shared" si="3"/>
        <v>#N/A</v>
      </c>
      <c r="G109" s="2">
        <f t="shared" si="4"/>
        <v>30000</v>
      </c>
      <c r="H109">
        <v>2</v>
      </c>
      <c r="I109">
        <v>6</v>
      </c>
      <c r="J109" s="3" t="str">
        <f>VLOOKUP(I109,User!A:D,4,0)</f>
        <v>이성민</v>
      </c>
      <c r="K109">
        <v>3</v>
      </c>
      <c r="L109">
        <v>0</v>
      </c>
      <c r="M109">
        <v>9</v>
      </c>
      <c r="N109">
        <v>9</v>
      </c>
      <c r="Q109" s="5" t="e">
        <f>VLOOKUP(A109,SaleList!E:G,3,0)</f>
        <v>#N/A</v>
      </c>
      <c r="R109" s="5" t="e">
        <f>VLOOKUP(A109,SaleList!E:H,4,0)</f>
        <v>#N/A</v>
      </c>
      <c r="S109" s="2" t="e">
        <f t="shared" si="5"/>
        <v>#N/A</v>
      </c>
    </row>
    <row r="110" spans="1:19">
      <c r="A110">
        <v>109</v>
      </c>
      <c r="B110" t="s">
        <v>259</v>
      </c>
      <c r="C110">
        <v>35000</v>
      </c>
      <c r="D110" s="2" t="e">
        <f>VLOOKUP(A110,SaleList!E:E,1,0)</f>
        <v>#N/A</v>
      </c>
      <c r="E110" s="2" t="e">
        <f>VLOOKUP(A110,SaleList!E:F,2,0)</f>
        <v>#N/A</v>
      </c>
      <c r="F110" s="2" t="e">
        <f t="shared" si="3"/>
        <v>#N/A</v>
      </c>
      <c r="G110" s="2">
        <f t="shared" si="4"/>
        <v>35000</v>
      </c>
      <c r="H110">
        <v>3</v>
      </c>
      <c r="I110">
        <v>23</v>
      </c>
      <c r="J110" s="3" t="str">
        <f>VLOOKUP(I110,User!A:D,4,0)</f>
        <v>전예진</v>
      </c>
      <c r="K110">
        <v>2</v>
      </c>
      <c r="L110">
        <v>3</v>
      </c>
      <c r="M110">
        <v>4</v>
      </c>
      <c r="N110">
        <v>2</v>
      </c>
      <c r="Q110" s="5" t="e">
        <f>VLOOKUP(A110,SaleList!E:G,3,0)</f>
        <v>#N/A</v>
      </c>
      <c r="R110" s="5" t="e">
        <f>VLOOKUP(A110,SaleList!E:H,4,0)</f>
        <v>#N/A</v>
      </c>
      <c r="S110" s="2" t="e">
        <f t="shared" si="5"/>
        <v>#N/A</v>
      </c>
    </row>
    <row r="111" spans="1:19">
      <c r="A111">
        <v>110</v>
      </c>
      <c r="B111" t="s">
        <v>260</v>
      </c>
      <c r="C111">
        <v>100000</v>
      </c>
      <c r="D111" s="2">
        <f>VLOOKUP(A111,SaleList!E:E,1,0)</f>
        <v>110</v>
      </c>
      <c r="E111" s="2">
        <f>VLOOKUP(A111,SaleList!E:F,2,0)</f>
        <v>25</v>
      </c>
      <c r="F111" s="2">
        <f t="shared" si="3"/>
        <v>75000</v>
      </c>
      <c r="G111" s="2">
        <f t="shared" si="4"/>
        <v>75000</v>
      </c>
      <c r="H111">
        <v>3</v>
      </c>
      <c r="I111">
        <v>7</v>
      </c>
      <c r="J111" s="3" t="str">
        <f>VLOOKUP(I111,User!A:D,4,0)</f>
        <v>박영호</v>
      </c>
      <c r="K111">
        <v>10</v>
      </c>
      <c r="L111">
        <v>8</v>
      </c>
      <c r="M111">
        <v>9</v>
      </c>
      <c r="N111">
        <v>8</v>
      </c>
      <c r="Q111" s="5">
        <f>VLOOKUP(A111,SaleList!E:G,3,0)</f>
        <v>45751</v>
      </c>
      <c r="R111" s="5">
        <f>VLOOKUP(A111,SaleList!E:H,4,0)</f>
        <v>45753</v>
      </c>
      <c r="S111" s="2">
        <f t="shared" si="5"/>
        <v>0</v>
      </c>
    </row>
    <row r="112" spans="1:19">
      <c r="A112">
        <v>111</v>
      </c>
      <c r="B112" t="s">
        <v>261</v>
      </c>
      <c r="C112">
        <v>125000</v>
      </c>
      <c r="D112" s="2" t="e">
        <f>VLOOKUP(A112,SaleList!E:E,1,0)</f>
        <v>#N/A</v>
      </c>
      <c r="E112" s="2" t="e">
        <f>VLOOKUP(A112,SaleList!E:F,2,0)</f>
        <v>#N/A</v>
      </c>
      <c r="F112" s="2" t="e">
        <f t="shared" si="3"/>
        <v>#N/A</v>
      </c>
      <c r="G112" s="2">
        <f t="shared" si="4"/>
        <v>125000</v>
      </c>
      <c r="H112">
        <v>3</v>
      </c>
      <c r="I112">
        <v>24</v>
      </c>
      <c r="J112" s="3" t="str">
        <f>VLOOKUP(I112,User!A:D,4,0)</f>
        <v>박은정</v>
      </c>
      <c r="K112">
        <v>0</v>
      </c>
      <c r="L112">
        <v>7</v>
      </c>
      <c r="M112">
        <v>1</v>
      </c>
      <c r="N112">
        <v>2</v>
      </c>
      <c r="Q112" s="5" t="e">
        <f>VLOOKUP(A112,SaleList!E:G,3,0)</f>
        <v>#N/A</v>
      </c>
      <c r="R112" s="5" t="e">
        <f>VLOOKUP(A112,SaleList!E:H,4,0)</f>
        <v>#N/A</v>
      </c>
      <c r="S112" s="2" t="e">
        <f t="shared" si="5"/>
        <v>#N/A</v>
      </c>
    </row>
    <row r="113" spans="1:19">
      <c r="A113">
        <v>112</v>
      </c>
      <c r="B113" t="s">
        <v>262</v>
      </c>
      <c r="C113">
        <v>65000</v>
      </c>
      <c r="D113" s="2" t="e">
        <f>VLOOKUP(A113,SaleList!E:E,1,0)</f>
        <v>#N/A</v>
      </c>
      <c r="E113" s="2" t="e">
        <f>VLOOKUP(A113,SaleList!E:F,2,0)</f>
        <v>#N/A</v>
      </c>
      <c r="F113" s="2" t="e">
        <f t="shared" si="3"/>
        <v>#N/A</v>
      </c>
      <c r="G113" s="2">
        <f t="shared" si="4"/>
        <v>65000</v>
      </c>
      <c r="H113">
        <v>3</v>
      </c>
      <c r="I113">
        <v>8</v>
      </c>
      <c r="J113" s="3" t="str">
        <f>VLOOKUP(I113,User!A:D,4,0)</f>
        <v>이수민</v>
      </c>
      <c r="K113">
        <v>7</v>
      </c>
      <c r="L113">
        <v>7</v>
      </c>
      <c r="M113">
        <v>3</v>
      </c>
      <c r="N113">
        <v>4</v>
      </c>
      <c r="Q113" s="5" t="e">
        <f>VLOOKUP(A113,SaleList!E:G,3,0)</f>
        <v>#N/A</v>
      </c>
      <c r="R113" s="5" t="e">
        <f>VLOOKUP(A113,SaleList!E:H,4,0)</f>
        <v>#N/A</v>
      </c>
      <c r="S113" s="2" t="e">
        <f t="shared" si="5"/>
        <v>#N/A</v>
      </c>
    </row>
    <row r="114" spans="1:19">
      <c r="A114">
        <v>113</v>
      </c>
      <c r="B114" t="s">
        <v>263</v>
      </c>
      <c r="C114">
        <v>95000</v>
      </c>
      <c r="D114" s="2" t="e">
        <f>VLOOKUP(A114,SaleList!E:E,1,0)</f>
        <v>#N/A</v>
      </c>
      <c r="E114" s="2" t="e">
        <f>VLOOKUP(A114,SaleList!E:F,2,0)</f>
        <v>#N/A</v>
      </c>
      <c r="F114" s="2" t="e">
        <f t="shared" si="3"/>
        <v>#N/A</v>
      </c>
      <c r="G114" s="2">
        <f t="shared" si="4"/>
        <v>95000</v>
      </c>
      <c r="H114">
        <v>4</v>
      </c>
      <c r="I114">
        <v>13</v>
      </c>
      <c r="J114" s="3" t="str">
        <f>VLOOKUP(I114,User!A:D,4,0)</f>
        <v>이현정</v>
      </c>
      <c r="K114">
        <v>5</v>
      </c>
      <c r="L114">
        <v>10</v>
      </c>
      <c r="M114">
        <v>2</v>
      </c>
      <c r="N114">
        <v>8</v>
      </c>
      <c r="Q114" s="5" t="e">
        <f>VLOOKUP(A114,SaleList!E:G,3,0)</f>
        <v>#N/A</v>
      </c>
      <c r="R114" s="5" t="e">
        <f>VLOOKUP(A114,SaleList!E:H,4,0)</f>
        <v>#N/A</v>
      </c>
      <c r="S114" s="2" t="e">
        <f t="shared" si="5"/>
        <v>#N/A</v>
      </c>
    </row>
    <row r="115" spans="1:19">
      <c r="A115">
        <v>114</v>
      </c>
      <c r="B115" t="s">
        <v>264</v>
      </c>
      <c r="C115">
        <v>50000</v>
      </c>
      <c r="D115" s="2" t="e">
        <f>VLOOKUP(A115,SaleList!E:E,1,0)</f>
        <v>#N/A</v>
      </c>
      <c r="E115" s="2" t="e">
        <f>VLOOKUP(A115,SaleList!E:F,2,0)</f>
        <v>#N/A</v>
      </c>
      <c r="F115" s="2" t="e">
        <f t="shared" si="3"/>
        <v>#N/A</v>
      </c>
      <c r="G115" s="2">
        <f t="shared" si="4"/>
        <v>50000</v>
      </c>
      <c r="H115">
        <v>4</v>
      </c>
      <c r="I115">
        <v>6</v>
      </c>
      <c r="J115" s="3" t="str">
        <f>VLOOKUP(I115,User!A:D,4,0)</f>
        <v>이성민</v>
      </c>
      <c r="K115">
        <v>9</v>
      </c>
      <c r="L115">
        <v>1</v>
      </c>
      <c r="M115">
        <v>4</v>
      </c>
      <c r="N115">
        <v>2</v>
      </c>
      <c r="Q115" s="5" t="e">
        <f>VLOOKUP(A115,SaleList!E:G,3,0)</f>
        <v>#N/A</v>
      </c>
      <c r="R115" s="5" t="e">
        <f>VLOOKUP(A115,SaleList!E:H,4,0)</f>
        <v>#N/A</v>
      </c>
      <c r="S115" s="2" t="e">
        <f t="shared" si="5"/>
        <v>#N/A</v>
      </c>
    </row>
    <row r="116" spans="1:19">
      <c r="A116">
        <v>115</v>
      </c>
      <c r="B116" t="s">
        <v>265</v>
      </c>
      <c r="C116">
        <v>65000</v>
      </c>
      <c r="D116" s="2" t="e">
        <f>VLOOKUP(A116,SaleList!E:E,1,0)</f>
        <v>#N/A</v>
      </c>
      <c r="E116" s="2" t="e">
        <f>VLOOKUP(A116,SaleList!E:F,2,0)</f>
        <v>#N/A</v>
      </c>
      <c r="F116" s="2" t="e">
        <f t="shared" si="3"/>
        <v>#N/A</v>
      </c>
      <c r="G116" s="2">
        <f t="shared" si="4"/>
        <v>65000</v>
      </c>
      <c r="H116">
        <v>4</v>
      </c>
      <c r="I116">
        <v>3</v>
      </c>
      <c r="J116" s="3" t="str">
        <f>VLOOKUP(I116,User!A:D,4,0)</f>
        <v>강수빈</v>
      </c>
      <c r="K116">
        <v>0</v>
      </c>
      <c r="L116">
        <v>8</v>
      </c>
      <c r="M116">
        <v>9</v>
      </c>
      <c r="N116">
        <v>9</v>
      </c>
      <c r="Q116" s="5" t="e">
        <f>VLOOKUP(A116,SaleList!E:G,3,0)</f>
        <v>#N/A</v>
      </c>
      <c r="R116" s="5" t="e">
        <f>VLOOKUP(A116,SaleList!E:H,4,0)</f>
        <v>#N/A</v>
      </c>
      <c r="S116" s="2" t="e">
        <f t="shared" si="5"/>
        <v>#N/A</v>
      </c>
    </row>
    <row r="117" spans="1:19">
      <c r="A117">
        <v>116</v>
      </c>
      <c r="B117" t="s">
        <v>266</v>
      </c>
      <c r="C117">
        <v>100000</v>
      </c>
      <c r="D117" s="2" t="e">
        <f>VLOOKUP(A117,SaleList!E:E,1,0)</f>
        <v>#N/A</v>
      </c>
      <c r="E117" s="2" t="e">
        <f>VLOOKUP(A117,SaleList!E:F,2,0)</f>
        <v>#N/A</v>
      </c>
      <c r="F117" s="2" t="e">
        <f t="shared" si="3"/>
        <v>#N/A</v>
      </c>
      <c r="G117" s="2">
        <f t="shared" si="4"/>
        <v>100000</v>
      </c>
      <c r="H117">
        <v>4</v>
      </c>
      <c r="I117">
        <v>7</v>
      </c>
      <c r="J117" s="3" t="str">
        <f>VLOOKUP(I117,User!A:D,4,0)</f>
        <v>박영호</v>
      </c>
      <c r="K117">
        <v>10</v>
      </c>
      <c r="L117">
        <v>4</v>
      </c>
      <c r="M117">
        <v>7</v>
      </c>
      <c r="N117">
        <v>8</v>
      </c>
      <c r="Q117" s="5" t="e">
        <f>VLOOKUP(A117,SaleList!E:G,3,0)</f>
        <v>#N/A</v>
      </c>
      <c r="R117" s="5" t="e">
        <f>VLOOKUP(A117,SaleList!E:H,4,0)</f>
        <v>#N/A</v>
      </c>
      <c r="S117" s="2" t="e">
        <f t="shared" si="5"/>
        <v>#N/A</v>
      </c>
    </row>
    <row r="118" spans="1:19">
      <c r="A118">
        <v>117</v>
      </c>
      <c r="B118" t="s">
        <v>267</v>
      </c>
      <c r="C118">
        <v>45000</v>
      </c>
      <c r="D118" s="2" t="e">
        <f>VLOOKUP(A118,SaleList!E:E,1,0)</f>
        <v>#N/A</v>
      </c>
      <c r="E118" s="2" t="e">
        <f>VLOOKUP(A118,SaleList!E:F,2,0)</f>
        <v>#N/A</v>
      </c>
      <c r="F118" s="2" t="e">
        <f t="shared" si="3"/>
        <v>#N/A</v>
      </c>
      <c r="G118" s="2">
        <f t="shared" si="4"/>
        <v>45000</v>
      </c>
      <c r="H118">
        <v>5</v>
      </c>
      <c r="I118">
        <v>17</v>
      </c>
      <c r="J118" s="3" t="str">
        <f>VLOOKUP(I118,User!A:D,4,0)</f>
        <v>김준서</v>
      </c>
      <c r="K118">
        <v>2</v>
      </c>
      <c r="L118">
        <v>7</v>
      </c>
      <c r="M118">
        <v>4</v>
      </c>
      <c r="N118">
        <v>7</v>
      </c>
      <c r="Q118" s="5" t="e">
        <f>VLOOKUP(A118,SaleList!E:G,3,0)</f>
        <v>#N/A</v>
      </c>
      <c r="R118" s="5" t="e">
        <f>VLOOKUP(A118,SaleList!E:H,4,0)</f>
        <v>#N/A</v>
      </c>
      <c r="S118" s="2" t="e">
        <f t="shared" si="5"/>
        <v>#N/A</v>
      </c>
    </row>
    <row r="119" spans="1:19">
      <c r="A119">
        <v>118</v>
      </c>
      <c r="B119" t="s">
        <v>268</v>
      </c>
      <c r="C119">
        <v>15000</v>
      </c>
      <c r="D119" s="2" t="e">
        <f>VLOOKUP(A119,SaleList!E:E,1,0)</f>
        <v>#N/A</v>
      </c>
      <c r="E119" s="2" t="e">
        <f>VLOOKUP(A119,SaleList!E:F,2,0)</f>
        <v>#N/A</v>
      </c>
      <c r="F119" s="2" t="e">
        <f t="shared" si="3"/>
        <v>#N/A</v>
      </c>
      <c r="G119" s="2">
        <f t="shared" si="4"/>
        <v>15000</v>
      </c>
      <c r="H119">
        <v>5</v>
      </c>
      <c r="I119">
        <v>7</v>
      </c>
      <c r="J119" s="3" t="str">
        <f>VLOOKUP(I119,User!A:D,4,0)</f>
        <v>박영호</v>
      </c>
      <c r="K119">
        <v>10</v>
      </c>
      <c r="L119">
        <v>0</v>
      </c>
      <c r="M119">
        <v>9</v>
      </c>
      <c r="N119">
        <v>10</v>
      </c>
      <c r="Q119" s="5" t="e">
        <f>VLOOKUP(A119,SaleList!E:G,3,0)</f>
        <v>#N/A</v>
      </c>
      <c r="R119" s="5" t="e">
        <f>VLOOKUP(A119,SaleList!E:H,4,0)</f>
        <v>#N/A</v>
      </c>
      <c r="S119" s="2" t="e">
        <f t="shared" si="5"/>
        <v>#N/A</v>
      </c>
    </row>
    <row r="120" spans="1:19">
      <c r="A120">
        <v>119</v>
      </c>
      <c r="B120" t="s">
        <v>269</v>
      </c>
      <c r="C120">
        <v>60000</v>
      </c>
      <c r="D120" s="2" t="e">
        <f>VLOOKUP(A120,SaleList!E:E,1,0)</f>
        <v>#N/A</v>
      </c>
      <c r="E120" s="2" t="e">
        <f>VLOOKUP(A120,SaleList!E:F,2,0)</f>
        <v>#N/A</v>
      </c>
      <c r="F120" s="2" t="e">
        <f t="shared" si="3"/>
        <v>#N/A</v>
      </c>
      <c r="G120" s="2">
        <f t="shared" si="4"/>
        <v>60000</v>
      </c>
      <c r="H120">
        <v>5</v>
      </c>
      <c r="I120">
        <v>19</v>
      </c>
      <c r="J120" s="3" t="str">
        <f>VLOOKUP(I120,User!A:D,4,0)</f>
        <v>박정수</v>
      </c>
      <c r="K120">
        <v>7</v>
      </c>
      <c r="L120">
        <v>4</v>
      </c>
      <c r="M120">
        <v>4</v>
      </c>
      <c r="N120">
        <v>8</v>
      </c>
      <c r="Q120" s="5" t="e">
        <f>VLOOKUP(A120,SaleList!E:G,3,0)</f>
        <v>#N/A</v>
      </c>
      <c r="R120" s="5" t="e">
        <f>VLOOKUP(A120,SaleList!E:H,4,0)</f>
        <v>#N/A</v>
      </c>
      <c r="S120" s="2" t="e">
        <f t="shared" si="5"/>
        <v>#N/A</v>
      </c>
    </row>
    <row r="121" spans="1:19">
      <c r="A121">
        <v>120</v>
      </c>
      <c r="B121" t="s">
        <v>270</v>
      </c>
      <c r="C121">
        <v>40000</v>
      </c>
      <c r="D121" s="2" t="e">
        <f>VLOOKUP(A121,SaleList!E:E,1,0)</f>
        <v>#N/A</v>
      </c>
      <c r="E121" s="2" t="e">
        <f>VLOOKUP(A121,SaleList!E:F,2,0)</f>
        <v>#N/A</v>
      </c>
      <c r="F121" s="2" t="e">
        <f t="shared" si="3"/>
        <v>#N/A</v>
      </c>
      <c r="G121" s="2">
        <f t="shared" si="4"/>
        <v>40000</v>
      </c>
      <c r="H121">
        <v>5</v>
      </c>
      <c r="I121">
        <v>19</v>
      </c>
      <c r="J121" s="3" t="str">
        <f>VLOOKUP(I121,User!A:D,4,0)</f>
        <v>박정수</v>
      </c>
      <c r="K121">
        <v>2</v>
      </c>
      <c r="L121">
        <v>9</v>
      </c>
      <c r="M121">
        <v>1</v>
      </c>
      <c r="N121">
        <v>2</v>
      </c>
      <c r="Q121" s="5" t="e">
        <f>VLOOKUP(A121,SaleList!E:G,3,0)</f>
        <v>#N/A</v>
      </c>
      <c r="R121" s="5" t="e">
        <f>VLOOKUP(A121,SaleList!E:H,4,0)</f>
        <v>#N/A</v>
      </c>
      <c r="S121" s="2" t="e">
        <f t="shared" si="5"/>
        <v>#N/A</v>
      </c>
    </row>
    <row r="122" spans="1:19">
      <c r="A122">
        <v>121</v>
      </c>
      <c r="B122" t="s">
        <v>271</v>
      </c>
      <c r="C122">
        <v>25000</v>
      </c>
      <c r="D122" s="2" t="e">
        <f>VLOOKUP(A122,SaleList!E:E,1,0)</f>
        <v>#N/A</v>
      </c>
      <c r="E122" s="2" t="e">
        <f>VLOOKUP(A122,SaleList!E:F,2,0)</f>
        <v>#N/A</v>
      </c>
      <c r="F122" s="2" t="e">
        <f t="shared" si="3"/>
        <v>#N/A</v>
      </c>
      <c r="G122" s="2">
        <f t="shared" si="4"/>
        <v>25000</v>
      </c>
      <c r="H122">
        <v>6</v>
      </c>
      <c r="I122">
        <v>18</v>
      </c>
      <c r="J122" s="3" t="str">
        <f>VLOOKUP(I122,User!A:D,4,0)</f>
        <v>김우진</v>
      </c>
      <c r="K122">
        <v>9</v>
      </c>
      <c r="L122">
        <v>0</v>
      </c>
      <c r="M122">
        <v>2</v>
      </c>
      <c r="N122">
        <v>3</v>
      </c>
      <c r="Q122" s="5" t="e">
        <f>VLOOKUP(A122,SaleList!E:G,3,0)</f>
        <v>#N/A</v>
      </c>
      <c r="R122" s="5" t="e">
        <f>VLOOKUP(A122,SaleList!E:H,4,0)</f>
        <v>#N/A</v>
      </c>
      <c r="S122" s="2" t="e">
        <f t="shared" si="5"/>
        <v>#N/A</v>
      </c>
    </row>
    <row r="123" spans="1:19">
      <c r="A123">
        <v>122</v>
      </c>
      <c r="B123" t="s">
        <v>272</v>
      </c>
      <c r="C123">
        <v>55000</v>
      </c>
      <c r="D123" s="2" t="e">
        <f>VLOOKUP(A123,SaleList!E:E,1,0)</f>
        <v>#N/A</v>
      </c>
      <c r="E123" s="2" t="e">
        <f>VLOOKUP(A123,SaleList!E:F,2,0)</f>
        <v>#N/A</v>
      </c>
      <c r="F123" s="2" t="e">
        <f t="shared" si="3"/>
        <v>#N/A</v>
      </c>
      <c r="G123" s="2">
        <f t="shared" si="4"/>
        <v>55000</v>
      </c>
      <c r="H123">
        <v>6</v>
      </c>
      <c r="I123">
        <v>27</v>
      </c>
      <c r="J123" s="3" t="str">
        <f>VLOOKUP(I123,User!A:D,4,0)</f>
        <v>김정희</v>
      </c>
      <c r="K123">
        <v>2</v>
      </c>
      <c r="L123">
        <v>10</v>
      </c>
      <c r="M123">
        <v>7</v>
      </c>
      <c r="N123">
        <v>3</v>
      </c>
      <c r="Q123" s="5" t="e">
        <f>VLOOKUP(A123,SaleList!E:G,3,0)</f>
        <v>#N/A</v>
      </c>
      <c r="R123" s="5" t="e">
        <f>VLOOKUP(A123,SaleList!E:H,4,0)</f>
        <v>#N/A</v>
      </c>
      <c r="S123" s="2" t="e">
        <f t="shared" si="5"/>
        <v>#N/A</v>
      </c>
    </row>
    <row r="124" spans="1:19">
      <c r="A124">
        <v>123</v>
      </c>
      <c r="B124" t="s">
        <v>273</v>
      </c>
      <c r="C124">
        <v>50000</v>
      </c>
      <c r="D124" s="2" t="e">
        <f>VLOOKUP(A124,SaleList!E:E,1,0)</f>
        <v>#N/A</v>
      </c>
      <c r="E124" s="2" t="e">
        <f>VLOOKUP(A124,SaleList!E:F,2,0)</f>
        <v>#N/A</v>
      </c>
      <c r="F124" s="2" t="e">
        <f t="shared" si="3"/>
        <v>#N/A</v>
      </c>
      <c r="G124" s="2">
        <f t="shared" si="4"/>
        <v>50000</v>
      </c>
      <c r="H124">
        <v>6</v>
      </c>
      <c r="I124">
        <v>21</v>
      </c>
      <c r="J124" s="3" t="str">
        <f>VLOOKUP(I124,User!A:D,4,0)</f>
        <v>김현정</v>
      </c>
      <c r="K124">
        <v>3</v>
      </c>
      <c r="L124">
        <v>6</v>
      </c>
      <c r="M124">
        <v>2</v>
      </c>
      <c r="N124">
        <v>6</v>
      </c>
      <c r="Q124" s="5" t="e">
        <f>VLOOKUP(A124,SaleList!E:G,3,0)</f>
        <v>#N/A</v>
      </c>
      <c r="R124" s="5" t="e">
        <f>VLOOKUP(A124,SaleList!E:H,4,0)</f>
        <v>#N/A</v>
      </c>
      <c r="S124" s="2" t="e">
        <f t="shared" si="5"/>
        <v>#N/A</v>
      </c>
    </row>
    <row r="125" spans="1:19">
      <c r="A125">
        <v>124</v>
      </c>
      <c r="B125" t="s">
        <v>274</v>
      </c>
      <c r="C125">
        <v>60000</v>
      </c>
      <c r="D125" s="2" t="e">
        <f>VLOOKUP(A125,SaleList!E:E,1,0)</f>
        <v>#N/A</v>
      </c>
      <c r="E125" s="2" t="e">
        <f>VLOOKUP(A125,SaleList!E:F,2,0)</f>
        <v>#N/A</v>
      </c>
      <c r="F125" s="2" t="e">
        <f t="shared" si="3"/>
        <v>#N/A</v>
      </c>
      <c r="G125" s="2">
        <f t="shared" si="4"/>
        <v>60000</v>
      </c>
      <c r="H125">
        <v>6</v>
      </c>
      <c r="I125">
        <v>18</v>
      </c>
      <c r="J125" s="3" t="str">
        <f>VLOOKUP(I125,User!A:D,4,0)</f>
        <v>김우진</v>
      </c>
      <c r="K125">
        <v>3</v>
      </c>
      <c r="L125">
        <v>4</v>
      </c>
      <c r="M125">
        <v>3</v>
      </c>
      <c r="N125">
        <v>0</v>
      </c>
      <c r="Q125" s="5" t="e">
        <f>VLOOKUP(A125,SaleList!E:G,3,0)</f>
        <v>#N/A</v>
      </c>
      <c r="R125" s="5" t="e">
        <f>VLOOKUP(A125,SaleList!E:H,4,0)</f>
        <v>#N/A</v>
      </c>
      <c r="S125" s="2" t="e">
        <f t="shared" si="5"/>
        <v>#N/A</v>
      </c>
    </row>
    <row r="126" spans="1:19">
      <c r="A126">
        <v>125</v>
      </c>
      <c r="B126" t="s">
        <v>275</v>
      </c>
      <c r="C126">
        <v>20000</v>
      </c>
      <c r="D126" s="2" t="e">
        <f>VLOOKUP(A126,SaleList!E:E,1,0)</f>
        <v>#N/A</v>
      </c>
      <c r="E126" s="2" t="e">
        <f>VLOOKUP(A126,SaleList!E:F,2,0)</f>
        <v>#N/A</v>
      </c>
      <c r="F126" s="2" t="e">
        <f t="shared" si="3"/>
        <v>#N/A</v>
      </c>
      <c r="G126" s="2">
        <f t="shared" si="4"/>
        <v>20000</v>
      </c>
      <c r="H126">
        <v>7</v>
      </c>
      <c r="I126">
        <v>11</v>
      </c>
      <c r="J126" s="3" t="str">
        <f>VLOOKUP(I126,User!A:D,4,0)</f>
        <v>고우진</v>
      </c>
      <c r="K126">
        <v>2</v>
      </c>
      <c r="L126">
        <v>2</v>
      </c>
      <c r="M126">
        <v>9</v>
      </c>
      <c r="N126">
        <v>10</v>
      </c>
      <c r="Q126" s="5" t="e">
        <f>VLOOKUP(A126,SaleList!E:G,3,0)</f>
        <v>#N/A</v>
      </c>
      <c r="R126" s="5" t="e">
        <f>VLOOKUP(A126,SaleList!E:H,4,0)</f>
        <v>#N/A</v>
      </c>
      <c r="S126" s="2" t="e">
        <f t="shared" si="5"/>
        <v>#N/A</v>
      </c>
    </row>
    <row r="127" spans="1:19">
      <c r="A127">
        <v>126</v>
      </c>
      <c r="B127" t="s">
        <v>276</v>
      </c>
      <c r="C127">
        <v>75000</v>
      </c>
      <c r="D127" s="2" t="e">
        <f>VLOOKUP(A127,SaleList!E:E,1,0)</f>
        <v>#N/A</v>
      </c>
      <c r="E127" s="2" t="e">
        <f>VLOOKUP(A127,SaleList!E:F,2,0)</f>
        <v>#N/A</v>
      </c>
      <c r="F127" s="2" t="e">
        <f t="shared" si="3"/>
        <v>#N/A</v>
      </c>
      <c r="G127" s="2">
        <f t="shared" si="4"/>
        <v>75000</v>
      </c>
      <c r="H127">
        <v>7</v>
      </c>
      <c r="I127">
        <v>21</v>
      </c>
      <c r="J127" s="3" t="str">
        <f>VLOOKUP(I127,User!A:D,4,0)</f>
        <v>김현정</v>
      </c>
      <c r="K127">
        <v>3</v>
      </c>
      <c r="L127">
        <v>4</v>
      </c>
      <c r="M127">
        <v>10</v>
      </c>
      <c r="N127">
        <v>3</v>
      </c>
      <c r="Q127" s="5" t="e">
        <f>VLOOKUP(A127,SaleList!E:G,3,0)</f>
        <v>#N/A</v>
      </c>
      <c r="R127" s="5" t="e">
        <f>VLOOKUP(A127,SaleList!E:H,4,0)</f>
        <v>#N/A</v>
      </c>
      <c r="S127" s="2" t="e">
        <f t="shared" si="5"/>
        <v>#N/A</v>
      </c>
    </row>
    <row r="128" spans="1:19">
      <c r="A128">
        <v>127</v>
      </c>
      <c r="B128" t="s">
        <v>277</v>
      </c>
      <c r="C128">
        <v>65000</v>
      </c>
      <c r="D128" s="2" t="e">
        <f>VLOOKUP(A128,SaleList!E:E,1,0)</f>
        <v>#N/A</v>
      </c>
      <c r="E128" s="2" t="e">
        <f>VLOOKUP(A128,SaleList!E:F,2,0)</f>
        <v>#N/A</v>
      </c>
      <c r="F128" s="2" t="e">
        <f t="shared" si="3"/>
        <v>#N/A</v>
      </c>
      <c r="G128" s="2">
        <f t="shared" si="4"/>
        <v>65000</v>
      </c>
      <c r="H128">
        <v>7</v>
      </c>
      <c r="I128">
        <v>9</v>
      </c>
      <c r="J128" s="3" t="str">
        <f>VLOOKUP(I128,User!A:D,4,0)</f>
        <v>엄지혜</v>
      </c>
      <c r="K128">
        <v>4</v>
      </c>
      <c r="L128">
        <v>6</v>
      </c>
      <c r="M128">
        <v>7</v>
      </c>
      <c r="N128">
        <v>6</v>
      </c>
      <c r="Q128" s="5" t="e">
        <f>VLOOKUP(A128,SaleList!E:G,3,0)</f>
        <v>#N/A</v>
      </c>
      <c r="R128" s="5" t="e">
        <f>VLOOKUP(A128,SaleList!E:H,4,0)</f>
        <v>#N/A</v>
      </c>
      <c r="S128" s="2" t="e">
        <f t="shared" si="5"/>
        <v>#N/A</v>
      </c>
    </row>
    <row r="129" spans="1:19">
      <c r="A129">
        <v>128</v>
      </c>
      <c r="B129" t="s">
        <v>278</v>
      </c>
      <c r="C129">
        <v>80000</v>
      </c>
      <c r="D129" s="2" t="e">
        <f>VLOOKUP(A129,SaleList!E:E,1,0)</f>
        <v>#N/A</v>
      </c>
      <c r="E129" s="2" t="e">
        <f>VLOOKUP(A129,SaleList!E:F,2,0)</f>
        <v>#N/A</v>
      </c>
      <c r="F129" s="2" t="e">
        <f t="shared" si="3"/>
        <v>#N/A</v>
      </c>
      <c r="G129" s="2">
        <f t="shared" si="4"/>
        <v>80000</v>
      </c>
      <c r="H129">
        <v>7</v>
      </c>
      <c r="I129">
        <v>23</v>
      </c>
      <c r="J129" s="3" t="str">
        <f>VLOOKUP(I129,User!A:D,4,0)</f>
        <v>전예진</v>
      </c>
      <c r="K129">
        <v>1</v>
      </c>
      <c r="L129">
        <v>3</v>
      </c>
      <c r="M129">
        <v>10</v>
      </c>
      <c r="N129">
        <v>3</v>
      </c>
      <c r="Q129" s="5" t="e">
        <f>VLOOKUP(A129,SaleList!E:G,3,0)</f>
        <v>#N/A</v>
      </c>
      <c r="R129" s="5" t="e">
        <f>VLOOKUP(A129,SaleList!E:H,4,0)</f>
        <v>#N/A</v>
      </c>
      <c r="S129" s="2" t="e">
        <f t="shared" si="5"/>
        <v>#N/A</v>
      </c>
    </row>
    <row r="130" spans="1:19">
      <c r="A130">
        <v>129</v>
      </c>
      <c r="B130" t="s">
        <v>279</v>
      </c>
      <c r="C130">
        <v>50000</v>
      </c>
      <c r="D130" s="2" t="e">
        <f>VLOOKUP(A130,SaleList!E:E,1,0)</f>
        <v>#N/A</v>
      </c>
      <c r="E130" s="2" t="e">
        <f>VLOOKUP(A130,SaleList!E:F,2,0)</f>
        <v>#N/A</v>
      </c>
      <c r="F130" s="2" t="e">
        <f t="shared" si="3"/>
        <v>#N/A</v>
      </c>
      <c r="G130" s="2">
        <f t="shared" si="4"/>
        <v>50000</v>
      </c>
      <c r="H130">
        <v>8</v>
      </c>
      <c r="I130">
        <v>12</v>
      </c>
      <c r="J130" s="3" t="str">
        <f>VLOOKUP(I130,User!A:D,4,0)</f>
        <v>이상현</v>
      </c>
      <c r="K130">
        <v>2</v>
      </c>
      <c r="L130">
        <v>10</v>
      </c>
      <c r="M130">
        <v>6</v>
      </c>
      <c r="N130">
        <v>9</v>
      </c>
      <c r="Q130" s="5" t="e">
        <f>VLOOKUP(A130,SaleList!E:G,3,0)</f>
        <v>#N/A</v>
      </c>
      <c r="R130" s="5" t="e">
        <f>VLOOKUP(A130,SaleList!E:H,4,0)</f>
        <v>#N/A</v>
      </c>
      <c r="S130" s="2" t="e">
        <f t="shared" si="5"/>
        <v>#N/A</v>
      </c>
    </row>
    <row r="131" spans="1:19">
      <c r="A131">
        <v>130</v>
      </c>
      <c r="B131" t="s">
        <v>280</v>
      </c>
      <c r="C131">
        <v>65000</v>
      </c>
      <c r="D131" s="2" t="e">
        <f>VLOOKUP(A131,SaleList!E:E,1,0)</f>
        <v>#N/A</v>
      </c>
      <c r="E131" s="2" t="e">
        <f>VLOOKUP(A131,SaleList!E:F,2,0)</f>
        <v>#N/A</v>
      </c>
      <c r="F131" s="2" t="e">
        <f t="shared" ref="F131:F194" si="6">C131*((100-E131)/100)</f>
        <v>#N/A</v>
      </c>
      <c r="G131" s="2">
        <f t="shared" ref="G131:G194" si="7">_xlfn.IFNA(F131,C131)</f>
        <v>65000</v>
      </c>
      <c r="H131">
        <v>8</v>
      </c>
      <c r="I131">
        <v>20</v>
      </c>
      <c r="J131" s="3" t="str">
        <f>VLOOKUP(I131,User!A:D,4,0)</f>
        <v>이현준</v>
      </c>
      <c r="K131">
        <v>9</v>
      </c>
      <c r="L131">
        <v>3</v>
      </c>
      <c r="M131">
        <v>6</v>
      </c>
      <c r="N131">
        <v>6</v>
      </c>
      <c r="Q131" s="5" t="e">
        <f>VLOOKUP(A131,SaleList!E:G,3,0)</f>
        <v>#N/A</v>
      </c>
      <c r="R131" s="5" t="e">
        <f>VLOOKUP(A131,SaleList!E:H,4,0)</f>
        <v>#N/A</v>
      </c>
      <c r="S131" s="2" t="e">
        <f t="shared" si="5"/>
        <v>#N/A</v>
      </c>
    </row>
    <row r="132" spans="1:19">
      <c r="A132">
        <v>131</v>
      </c>
      <c r="B132" t="s">
        <v>281</v>
      </c>
      <c r="C132">
        <v>25000</v>
      </c>
      <c r="D132" s="2" t="e">
        <f>VLOOKUP(A132,SaleList!E:E,1,0)</f>
        <v>#N/A</v>
      </c>
      <c r="E132" s="2" t="e">
        <f>VLOOKUP(A132,SaleList!E:F,2,0)</f>
        <v>#N/A</v>
      </c>
      <c r="F132" s="2" t="e">
        <f t="shared" si="6"/>
        <v>#N/A</v>
      </c>
      <c r="G132" s="2">
        <f t="shared" si="7"/>
        <v>25000</v>
      </c>
      <c r="H132">
        <v>8</v>
      </c>
      <c r="I132">
        <v>27</v>
      </c>
      <c r="J132" s="3" t="str">
        <f>VLOOKUP(I132,User!A:D,4,0)</f>
        <v>김정희</v>
      </c>
      <c r="K132">
        <v>10</v>
      </c>
      <c r="L132">
        <v>7</v>
      </c>
      <c r="M132">
        <v>2</v>
      </c>
      <c r="N132">
        <v>3</v>
      </c>
      <c r="Q132" s="5" t="e">
        <f>VLOOKUP(A132,SaleList!E:G,3,0)</f>
        <v>#N/A</v>
      </c>
      <c r="R132" s="5" t="e">
        <f>VLOOKUP(A132,SaleList!E:H,4,0)</f>
        <v>#N/A</v>
      </c>
      <c r="S132" s="2" t="e">
        <f t="shared" ref="S132:S195" si="8">IF(AND(Q132&lt;=DATE(2025,4,2), R132&gt;=DATE(2025,4,2)), 1, 0)</f>
        <v>#N/A</v>
      </c>
    </row>
    <row r="133" spans="1:19">
      <c r="A133">
        <v>132</v>
      </c>
      <c r="B133" t="s">
        <v>282</v>
      </c>
      <c r="C133">
        <v>30000</v>
      </c>
      <c r="D133" s="2" t="e">
        <f>VLOOKUP(A133,SaleList!E:E,1,0)</f>
        <v>#N/A</v>
      </c>
      <c r="E133" s="2" t="e">
        <f>VLOOKUP(A133,SaleList!E:F,2,0)</f>
        <v>#N/A</v>
      </c>
      <c r="F133" s="2" t="e">
        <f t="shared" si="6"/>
        <v>#N/A</v>
      </c>
      <c r="G133" s="2">
        <f t="shared" si="7"/>
        <v>30000</v>
      </c>
      <c r="H133">
        <v>8</v>
      </c>
      <c r="I133">
        <v>20</v>
      </c>
      <c r="J133" s="3" t="str">
        <f>VLOOKUP(I133,User!A:D,4,0)</f>
        <v>이현준</v>
      </c>
      <c r="K133">
        <v>1</v>
      </c>
      <c r="L133">
        <v>8</v>
      </c>
      <c r="M133">
        <v>10</v>
      </c>
      <c r="N133">
        <v>2</v>
      </c>
      <c r="Q133" s="5" t="e">
        <f>VLOOKUP(A133,SaleList!E:G,3,0)</f>
        <v>#N/A</v>
      </c>
      <c r="R133" s="5" t="e">
        <f>VLOOKUP(A133,SaleList!E:H,4,0)</f>
        <v>#N/A</v>
      </c>
      <c r="S133" s="2" t="e">
        <f t="shared" si="8"/>
        <v>#N/A</v>
      </c>
    </row>
    <row r="134" spans="1:19">
      <c r="A134">
        <v>133</v>
      </c>
      <c r="B134" t="s">
        <v>283</v>
      </c>
      <c r="C134">
        <v>25000</v>
      </c>
      <c r="D134" s="2" t="e">
        <f>VLOOKUP(A134,SaleList!E:E,1,0)</f>
        <v>#N/A</v>
      </c>
      <c r="E134" s="2" t="e">
        <f>VLOOKUP(A134,SaleList!E:F,2,0)</f>
        <v>#N/A</v>
      </c>
      <c r="F134" s="2" t="e">
        <f t="shared" si="6"/>
        <v>#N/A</v>
      </c>
      <c r="G134" s="2">
        <f t="shared" si="7"/>
        <v>25000</v>
      </c>
      <c r="H134">
        <v>9</v>
      </c>
      <c r="I134">
        <v>28</v>
      </c>
      <c r="J134" s="3" t="str">
        <f>VLOOKUP(I134,User!A:D,4,0)</f>
        <v>류진우</v>
      </c>
      <c r="K134">
        <v>4</v>
      </c>
      <c r="L134">
        <v>5</v>
      </c>
      <c r="M134">
        <v>3</v>
      </c>
      <c r="N134">
        <v>2</v>
      </c>
      <c r="Q134" s="5" t="e">
        <f>VLOOKUP(A134,SaleList!E:G,3,0)</f>
        <v>#N/A</v>
      </c>
      <c r="R134" s="5" t="e">
        <f>VLOOKUP(A134,SaleList!E:H,4,0)</f>
        <v>#N/A</v>
      </c>
      <c r="S134" s="2" t="e">
        <f t="shared" si="8"/>
        <v>#N/A</v>
      </c>
    </row>
    <row r="135" spans="1:19">
      <c r="A135">
        <v>134</v>
      </c>
      <c r="B135" t="s">
        <v>284</v>
      </c>
      <c r="C135">
        <v>85000</v>
      </c>
      <c r="D135" s="2" t="e">
        <f>VLOOKUP(A135,SaleList!E:E,1,0)</f>
        <v>#N/A</v>
      </c>
      <c r="E135" s="2" t="e">
        <f>VLOOKUP(A135,SaleList!E:F,2,0)</f>
        <v>#N/A</v>
      </c>
      <c r="F135" s="2" t="e">
        <f t="shared" si="6"/>
        <v>#N/A</v>
      </c>
      <c r="G135" s="2">
        <f t="shared" si="7"/>
        <v>85000</v>
      </c>
      <c r="H135">
        <v>9</v>
      </c>
      <c r="I135">
        <v>14</v>
      </c>
      <c r="J135" s="3" t="str">
        <f>VLOOKUP(I135,User!A:D,4,0)</f>
        <v>이영자</v>
      </c>
      <c r="K135">
        <v>10</v>
      </c>
      <c r="L135">
        <v>0</v>
      </c>
      <c r="M135">
        <v>6</v>
      </c>
      <c r="N135">
        <v>2</v>
      </c>
      <c r="Q135" s="5" t="e">
        <f>VLOOKUP(A135,SaleList!E:G,3,0)</f>
        <v>#N/A</v>
      </c>
      <c r="R135" s="5" t="e">
        <f>VLOOKUP(A135,SaleList!E:H,4,0)</f>
        <v>#N/A</v>
      </c>
      <c r="S135" s="2" t="e">
        <f t="shared" si="8"/>
        <v>#N/A</v>
      </c>
    </row>
    <row r="136" spans="1:19">
      <c r="A136">
        <v>135</v>
      </c>
      <c r="B136" t="s">
        <v>285</v>
      </c>
      <c r="C136">
        <v>10000</v>
      </c>
      <c r="D136" s="2" t="e">
        <f>VLOOKUP(A136,SaleList!E:E,1,0)</f>
        <v>#N/A</v>
      </c>
      <c r="E136" s="2" t="e">
        <f>VLOOKUP(A136,SaleList!E:F,2,0)</f>
        <v>#N/A</v>
      </c>
      <c r="F136" s="2" t="e">
        <f t="shared" si="6"/>
        <v>#N/A</v>
      </c>
      <c r="G136" s="2">
        <f t="shared" si="7"/>
        <v>10000</v>
      </c>
      <c r="H136">
        <v>9</v>
      </c>
      <c r="I136">
        <v>1</v>
      </c>
      <c r="J136" s="3" t="str">
        <f>VLOOKUP(I136,User!A:D,4,0)</f>
        <v>손준서</v>
      </c>
      <c r="K136">
        <v>6</v>
      </c>
      <c r="L136">
        <v>8</v>
      </c>
      <c r="M136">
        <v>0</v>
      </c>
      <c r="N136">
        <v>6</v>
      </c>
      <c r="Q136" s="5" t="e">
        <f>VLOOKUP(A136,SaleList!E:G,3,0)</f>
        <v>#N/A</v>
      </c>
      <c r="R136" s="5" t="e">
        <f>VLOOKUP(A136,SaleList!E:H,4,0)</f>
        <v>#N/A</v>
      </c>
      <c r="S136" s="2" t="e">
        <f t="shared" si="8"/>
        <v>#N/A</v>
      </c>
    </row>
    <row r="137" spans="1:19">
      <c r="A137">
        <v>136</v>
      </c>
      <c r="B137" t="s">
        <v>286</v>
      </c>
      <c r="C137">
        <v>40000</v>
      </c>
      <c r="D137" s="2" t="e">
        <f>VLOOKUP(A137,SaleList!E:E,1,0)</f>
        <v>#N/A</v>
      </c>
      <c r="E137" s="2" t="e">
        <f>VLOOKUP(A137,SaleList!E:F,2,0)</f>
        <v>#N/A</v>
      </c>
      <c r="F137" s="2" t="e">
        <f t="shared" si="6"/>
        <v>#N/A</v>
      </c>
      <c r="G137" s="2">
        <f t="shared" si="7"/>
        <v>40000</v>
      </c>
      <c r="H137">
        <v>9</v>
      </c>
      <c r="I137">
        <v>27</v>
      </c>
      <c r="J137" s="3" t="str">
        <f>VLOOKUP(I137,User!A:D,4,0)</f>
        <v>김정희</v>
      </c>
      <c r="K137">
        <v>8</v>
      </c>
      <c r="L137">
        <v>5</v>
      </c>
      <c r="M137">
        <v>10</v>
      </c>
      <c r="N137">
        <v>4</v>
      </c>
      <c r="Q137" s="5" t="e">
        <f>VLOOKUP(A137,SaleList!E:G,3,0)</f>
        <v>#N/A</v>
      </c>
      <c r="R137" s="5" t="e">
        <f>VLOOKUP(A137,SaleList!E:H,4,0)</f>
        <v>#N/A</v>
      </c>
      <c r="S137" s="2" t="e">
        <f t="shared" si="8"/>
        <v>#N/A</v>
      </c>
    </row>
    <row r="138" spans="1:19">
      <c r="A138">
        <v>137</v>
      </c>
      <c r="B138" t="s">
        <v>287</v>
      </c>
      <c r="C138">
        <v>15000</v>
      </c>
      <c r="D138" s="2" t="e">
        <f>VLOOKUP(A138,SaleList!E:E,1,0)</f>
        <v>#N/A</v>
      </c>
      <c r="E138" s="2" t="e">
        <f>VLOOKUP(A138,SaleList!E:F,2,0)</f>
        <v>#N/A</v>
      </c>
      <c r="F138" s="2" t="e">
        <f t="shared" si="6"/>
        <v>#N/A</v>
      </c>
      <c r="G138" s="2">
        <f t="shared" si="7"/>
        <v>15000</v>
      </c>
      <c r="H138">
        <v>10</v>
      </c>
      <c r="I138">
        <v>20</v>
      </c>
      <c r="J138" s="3" t="str">
        <f>VLOOKUP(I138,User!A:D,4,0)</f>
        <v>이현준</v>
      </c>
      <c r="K138">
        <v>2</v>
      </c>
      <c r="L138">
        <v>4</v>
      </c>
      <c r="M138">
        <v>8</v>
      </c>
      <c r="N138">
        <v>6</v>
      </c>
      <c r="Q138" s="5" t="e">
        <f>VLOOKUP(A138,SaleList!E:G,3,0)</f>
        <v>#N/A</v>
      </c>
      <c r="R138" s="5" t="e">
        <f>VLOOKUP(A138,SaleList!E:H,4,0)</f>
        <v>#N/A</v>
      </c>
      <c r="S138" s="2" t="e">
        <f t="shared" si="8"/>
        <v>#N/A</v>
      </c>
    </row>
    <row r="139" spans="1:19">
      <c r="A139">
        <v>138</v>
      </c>
      <c r="B139" t="s">
        <v>288</v>
      </c>
      <c r="C139">
        <v>15000</v>
      </c>
      <c r="D139" s="2" t="e">
        <f>VLOOKUP(A139,SaleList!E:E,1,0)</f>
        <v>#N/A</v>
      </c>
      <c r="E139" s="2" t="e">
        <f>VLOOKUP(A139,SaleList!E:F,2,0)</f>
        <v>#N/A</v>
      </c>
      <c r="F139" s="2" t="e">
        <f t="shared" si="6"/>
        <v>#N/A</v>
      </c>
      <c r="G139" s="2">
        <f t="shared" si="7"/>
        <v>15000</v>
      </c>
      <c r="H139">
        <v>10</v>
      </c>
      <c r="I139">
        <v>1</v>
      </c>
      <c r="J139" s="3" t="str">
        <f>VLOOKUP(I139,User!A:D,4,0)</f>
        <v>손준서</v>
      </c>
      <c r="K139">
        <v>3</v>
      </c>
      <c r="L139">
        <v>7</v>
      </c>
      <c r="M139">
        <v>0</v>
      </c>
      <c r="N139">
        <v>0</v>
      </c>
      <c r="Q139" s="5" t="e">
        <f>VLOOKUP(A139,SaleList!E:G,3,0)</f>
        <v>#N/A</v>
      </c>
      <c r="R139" s="5" t="e">
        <f>VLOOKUP(A139,SaleList!E:H,4,0)</f>
        <v>#N/A</v>
      </c>
      <c r="S139" s="2" t="e">
        <f t="shared" si="8"/>
        <v>#N/A</v>
      </c>
    </row>
    <row r="140" spans="1:19">
      <c r="A140">
        <v>139</v>
      </c>
      <c r="B140" t="s">
        <v>289</v>
      </c>
      <c r="C140">
        <v>40000</v>
      </c>
      <c r="D140" s="2" t="e">
        <f>VLOOKUP(A140,SaleList!E:E,1,0)</f>
        <v>#N/A</v>
      </c>
      <c r="E140" s="2" t="e">
        <f>VLOOKUP(A140,SaleList!E:F,2,0)</f>
        <v>#N/A</v>
      </c>
      <c r="F140" s="2" t="e">
        <f t="shared" si="6"/>
        <v>#N/A</v>
      </c>
      <c r="G140" s="2">
        <f t="shared" si="7"/>
        <v>40000</v>
      </c>
      <c r="H140">
        <v>10</v>
      </c>
      <c r="I140">
        <v>14</v>
      </c>
      <c r="J140" s="3" t="str">
        <f>VLOOKUP(I140,User!A:D,4,0)</f>
        <v>이영자</v>
      </c>
      <c r="K140">
        <v>0</v>
      </c>
      <c r="L140">
        <v>10</v>
      </c>
      <c r="M140">
        <v>10</v>
      </c>
      <c r="N140">
        <v>4</v>
      </c>
      <c r="Q140" s="5" t="e">
        <f>VLOOKUP(A140,SaleList!E:G,3,0)</f>
        <v>#N/A</v>
      </c>
      <c r="R140" s="5" t="e">
        <f>VLOOKUP(A140,SaleList!E:H,4,0)</f>
        <v>#N/A</v>
      </c>
      <c r="S140" s="2" t="e">
        <f t="shared" si="8"/>
        <v>#N/A</v>
      </c>
    </row>
    <row r="141" spans="1:19">
      <c r="A141">
        <v>140</v>
      </c>
      <c r="B141" t="s">
        <v>290</v>
      </c>
      <c r="C141">
        <v>65000</v>
      </c>
      <c r="D141" s="2" t="e">
        <f>VLOOKUP(A141,SaleList!E:E,1,0)</f>
        <v>#N/A</v>
      </c>
      <c r="E141" s="2" t="e">
        <f>VLOOKUP(A141,SaleList!E:F,2,0)</f>
        <v>#N/A</v>
      </c>
      <c r="F141" s="2" t="e">
        <f t="shared" si="6"/>
        <v>#N/A</v>
      </c>
      <c r="G141" s="2">
        <f t="shared" si="7"/>
        <v>65000</v>
      </c>
      <c r="H141">
        <v>10</v>
      </c>
      <c r="I141">
        <v>8</v>
      </c>
      <c r="J141" s="3" t="str">
        <f>VLOOKUP(I141,User!A:D,4,0)</f>
        <v>이수민</v>
      </c>
      <c r="K141">
        <v>0</v>
      </c>
      <c r="L141">
        <v>10</v>
      </c>
      <c r="M141">
        <v>7</v>
      </c>
      <c r="N141">
        <v>9</v>
      </c>
      <c r="Q141" s="5" t="e">
        <f>VLOOKUP(A141,SaleList!E:G,3,0)</f>
        <v>#N/A</v>
      </c>
      <c r="R141" s="5" t="e">
        <f>VLOOKUP(A141,SaleList!E:H,4,0)</f>
        <v>#N/A</v>
      </c>
      <c r="S141" s="2" t="e">
        <f t="shared" si="8"/>
        <v>#N/A</v>
      </c>
    </row>
    <row r="142" spans="1:19">
      <c r="A142">
        <v>141</v>
      </c>
      <c r="B142" t="s">
        <v>291</v>
      </c>
      <c r="C142">
        <v>45000</v>
      </c>
      <c r="D142" s="2" t="e">
        <f>VLOOKUP(A142,SaleList!E:E,1,0)</f>
        <v>#N/A</v>
      </c>
      <c r="E142" s="2" t="e">
        <f>VLOOKUP(A142,SaleList!E:F,2,0)</f>
        <v>#N/A</v>
      </c>
      <c r="F142" s="2" t="e">
        <f t="shared" si="6"/>
        <v>#N/A</v>
      </c>
      <c r="G142" s="2">
        <f t="shared" si="7"/>
        <v>45000</v>
      </c>
      <c r="H142">
        <v>11</v>
      </c>
      <c r="I142">
        <v>20</v>
      </c>
      <c r="J142" s="3" t="str">
        <f>VLOOKUP(I142,User!A:D,4,0)</f>
        <v>이현준</v>
      </c>
      <c r="K142">
        <v>6</v>
      </c>
      <c r="L142">
        <v>4</v>
      </c>
      <c r="M142">
        <v>6</v>
      </c>
      <c r="N142">
        <v>2</v>
      </c>
      <c r="Q142" s="5" t="e">
        <f>VLOOKUP(A142,SaleList!E:G,3,0)</f>
        <v>#N/A</v>
      </c>
      <c r="R142" s="5" t="e">
        <f>VLOOKUP(A142,SaleList!E:H,4,0)</f>
        <v>#N/A</v>
      </c>
      <c r="S142" s="2" t="e">
        <f t="shared" si="8"/>
        <v>#N/A</v>
      </c>
    </row>
    <row r="143" spans="1:19">
      <c r="A143">
        <v>142</v>
      </c>
      <c r="B143" t="s">
        <v>292</v>
      </c>
      <c r="C143">
        <v>35000</v>
      </c>
      <c r="D143" s="2" t="e">
        <f>VLOOKUP(A143,SaleList!E:E,1,0)</f>
        <v>#N/A</v>
      </c>
      <c r="E143" s="2" t="e">
        <f>VLOOKUP(A143,SaleList!E:F,2,0)</f>
        <v>#N/A</v>
      </c>
      <c r="F143" s="2" t="e">
        <f t="shared" si="6"/>
        <v>#N/A</v>
      </c>
      <c r="G143" s="2">
        <f t="shared" si="7"/>
        <v>35000</v>
      </c>
      <c r="H143">
        <v>11</v>
      </c>
      <c r="I143">
        <v>12</v>
      </c>
      <c r="J143" s="3" t="str">
        <f>VLOOKUP(I143,User!A:D,4,0)</f>
        <v>이상현</v>
      </c>
      <c r="K143">
        <v>0</v>
      </c>
      <c r="L143">
        <v>1</v>
      </c>
      <c r="M143">
        <v>5</v>
      </c>
      <c r="N143">
        <v>1</v>
      </c>
      <c r="Q143" s="5" t="e">
        <f>VLOOKUP(A143,SaleList!E:G,3,0)</f>
        <v>#N/A</v>
      </c>
      <c r="R143" s="5" t="e">
        <f>VLOOKUP(A143,SaleList!E:H,4,0)</f>
        <v>#N/A</v>
      </c>
      <c r="S143" s="2" t="e">
        <f t="shared" si="8"/>
        <v>#N/A</v>
      </c>
    </row>
    <row r="144" spans="1:19">
      <c r="A144">
        <v>143</v>
      </c>
      <c r="B144" t="s">
        <v>293</v>
      </c>
      <c r="C144">
        <v>60000</v>
      </c>
      <c r="D144" s="2" t="e">
        <f>VLOOKUP(A144,SaleList!E:E,1,0)</f>
        <v>#N/A</v>
      </c>
      <c r="E144" s="2" t="e">
        <f>VLOOKUP(A144,SaleList!E:F,2,0)</f>
        <v>#N/A</v>
      </c>
      <c r="F144" s="2" t="e">
        <f t="shared" si="6"/>
        <v>#N/A</v>
      </c>
      <c r="G144" s="2">
        <f t="shared" si="7"/>
        <v>60000</v>
      </c>
      <c r="H144">
        <v>11</v>
      </c>
      <c r="I144">
        <v>19</v>
      </c>
      <c r="J144" s="3" t="str">
        <f>VLOOKUP(I144,User!A:D,4,0)</f>
        <v>박정수</v>
      </c>
      <c r="K144">
        <v>6</v>
      </c>
      <c r="L144">
        <v>3</v>
      </c>
      <c r="M144">
        <v>9</v>
      </c>
      <c r="N144">
        <v>6</v>
      </c>
      <c r="Q144" s="5" t="e">
        <f>VLOOKUP(A144,SaleList!E:G,3,0)</f>
        <v>#N/A</v>
      </c>
      <c r="R144" s="5" t="e">
        <f>VLOOKUP(A144,SaleList!E:H,4,0)</f>
        <v>#N/A</v>
      </c>
      <c r="S144" s="2" t="e">
        <f t="shared" si="8"/>
        <v>#N/A</v>
      </c>
    </row>
    <row r="145" spans="1:19">
      <c r="A145">
        <v>144</v>
      </c>
      <c r="B145" t="s">
        <v>294</v>
      </c>
      <c r="C145">
        <v>40000</v>
      </c>
      <c r="D145" s="2" t="e">
        <f>VLOOKUP(A145,SaleList!E:E,1,0)</f>
        <v>#N/A</v>
      </c>
      <c r="E145" s="2" t="e">
        <f>VLOOKUP(A145,SaleList!E:F,2,0)</f>
        <v>#N/A</v>
      </c>
      <c r="F145" s="2" t="e">
        <f t="shared" si="6"/>
        <v>#N/A</v>
      </c>
      <c r="G145" s="2">
        <f t="shared" si="7"/>
        <v>40000</v>
      </c>
      <c r="H145">
        <v>11</v>
      </c>
      <c r="I145">
        <v>18</v>
      </c>
      <c r="J145" s="3" t="str">
        <f>VLOOKUP(I145,User!A:D,4,0)</f>
        <v>김우진</v>
      </c>
      <c r="K145">
        <v>3</v>
      </c>
      <c r="L145">
        <v>3</v>
      </c>
      <c r="M145">
        <v>6</v>
      </c>
      <c r="N145">
        <v>1</v>
      </c>
      <c r="Q145" s="5" t="e">
        <f>VLOOKUP(A145,SaleList!E:G,3,0)</f>
        <v>#N/A</v>
      </c>
      <c r="R145" s="5" t="e">
        <f>VLOOKUP(A145,SaleList!E:H,4,0)</f>
        <v>#N/A</v>
      </c>
      <c r="S145" s="2" t="e">
        <f t="shared" si="8"/>
        <v>#N/A</v>
      </c>
    </row>
    <row r="146" spans="1:19">
      <c r="A146">
        <v>145</v>
      </c>
      <c r="B146" t="s">
        <v>295</v>
      </c>
      <c r="C146">
        <v>55000</v>
      </c>
      <c r="D146" s="2" t="e">
        <f>VLOOKUP(A146,SaleList!E:E,1,0)</f>
        <v>#N/A</v>
      </c>
      <c r="E146" s="2" t="e">
        <f>VLOOKUP(A146,SaleList!E:F,2,0)</f>
        <v>#N/A</v>
      </c>
      <c r="F146" s="2" t="e">
        <f t="shared" si="6"/>
        <v>#N/A</v>
      </c>
      <c r="G146" s="2">
        <f t="shared" si="7"/>
        <v>55000</v>
      </c>
      <c r="H146">
        <v>12</v>
      </c>
      <c r="I146">
        <v>4</v>
      </c>
      <c r="J146" s="3" t="str">
        <f>VLOOKUP(I146,User!A:D,4,0)</f>
        <v>윤예지</v>
      </c>
      <c r="K146">
        <v>10</v>
      </c>
      <c r="L146">
        <v>9</v>
      </c>
      <c r="M146">
        <v>5</v>
      </c>
      <c r="N146">
        <v>7</v>
      </c>
      <c r="Q146" s="5" t="e">
        <f>VLOOKUP(A146,SaleList!E:G,3,0)</f>
        <v>#N/A</v>
      </c>
      <c r="R146" s="5" t="e">
        <f>VLOOKUP(A146,SaleList!E:H,4,0)</f>
        <v>#N/A</v>
      </c>
      <c r="S146" s="2" t="e">
        <f t="shared" si="8"/>
        <v>#N/A</v>
      </c>
    </row>
    <row r="147" spans="1:19">
      <c r="A147">
        <v>146</v>
      </c>
      <c r="B147" t="s">
        <v>296</v>
      </c>
      <c r="C147">
        <v>15000</v>
      </c>
      <c r="D147" s="2" t="e">
        <f>VLOOKUP(A147,SaleList!E:E,1,0)</f>
        <v>#N/A</v>
      </c>
      <c r="E147" s="2" t="e">
        <f>VLOOKUP(A147,SaleList!E:F,2,0)</f>
        <v>#N/A</v>
      </c>
      <c r="F147" s="2" t="e">
        <f t="shared" si="6"/>
        <v>#N/A</v>
      </c>
      <c r="G147" s="2">
        <f t="shared" si="7"/>
        <v>15000</v>
      </c>
      <c r="H147">
        <v>12</v>
      </c>
      <c r="I147">
        <v>27</v>
      </c>
      <c r="J147" s="3" t="str">
        <f>VLOOKUP(I147,User!A:D,4,0)</f>
        <v>김정희</v>
      </c>
      <c r="K147">
        <v>3</v>
      </c>
      <c r="L147">
        <v>2</v>
      </c>
      <c r="M147">
        <v>2</v>
      </c>
      <c r="N147">
        <v>5</v>
      </c>
      <c r="Q147" s="5" t="e">
        <f>VLOOKUP(A147,SaleList!E:G,3,0)</f>
        <v>#N/A</v>
      </c>
      <c r="R147" s="5" t="e">
        <f>VLOOKUP(A147,SaleList!E:H,4,0)</f>
        <v>#N/A</v>
      </c>
      <c r="S147" s="2" t="e">
        <f t="shared" si="8"/>
        <v>#N/A</v>
      </c>
    </row>
    <row r="148" spans="1:19">
      <c r="A148">
        <v>147</v>
      </c>
      <c r="B148" t="s">
        <v>297</v>
      </c>
      <c r="C148">
        <v>20000</v>
      </c>
      <c r="D148" s="2" t="e">
        <f>VLOOKUP(A148,SaleList!E:E,1,0)</f>
        <v>#N/A</v>
      </c>
      <c r="E148" s="2" t="e">
        <f>VLOOKUP(A148,SaleList!E:F,2,0)</f>
        <v>#N/A</v>
      </c>
      <c r="F148" s="2" t="e">
        <f t="shared" si="6"/>
        <v>#N/A</v>
      </c>
      <c r="G148" s="2">
        <f t="shared" si="7"/>
        <v>20000</v>
      </c>
      <c r="H148">
        <v>12</v>
      </c>
      <c r="I148">
        <v>21</v>
      </c>
      <c r="J148" s="3" t="str">
        <f>VLOOKUP(I148,User!A:D,4,0)</f>
        <v>김현정</v>
      </c>
      <c r="K148">
        <v>8</v>
      </c>
      <c r="L148">
        <v>5</v>
      </c>
      <c r="M148">
        <v>7</v>
      </c>
      <c r="N148">
        <v>6</v>
      </c>
      <c r="Q148" s="5" t="e">
        <f>VLOOKUP(A148,SaleList!E:G,3,0)</f>
        <v>#N/A</v>
      </c>
      <c r="R148" s="5" t="e">
        <f>VLOOKUP(A148,SaleList!E:H,4,0)</f>
        <v>#N/A</v>
      </c>
      <c r="S148" s="2" t="e">
        <f t="shared" si="8"/>
        <v>#N/A</v>
      </c>
    </row>
    <row r="149" spans="1:19">
      <c r="A149">
        <v>148</v>
      </c>
      <c r="B149" t="s">
        <v>298</v>
      </c>
      <c r="C149">
        <v>50000</v>
      </c>
      <c r="D149" s="2" t="e">
        <f>VLOOKUP(A149,SaleList!E:E,1,0)</f>
        <v>#N/A</v>
      </c>
      <c r="E149" s="2" t="e">
        <f>VLOOKUP(A149,SaleList!E:F,2,0)</f>
        <v>#N/A</v>
      </c>
      <c r="F149" s="2" t="e">
        <f t="shared" si="6"/>
        <v>#N/A</v>
      </c>
      <c r="G149" s="2">
        <f t="shared" si="7"/>
        <v>50000</v>
      </c>
      <c r="H149">
        <v>12</v>
      </c>
      <c r="I149">
        <v>8</v>
      </c>
      <c r="J149" s="3" t="str">
        <f>VLOOKUP(I149,User!A:D,4,0)</f>
        <v>이수민</v>
      </c>
      <c r="K149">
        <v>8</v>
      </c>
      <c r="L149">
        <v>2</v>
      </c>
      <c r="M149">
        <v>1</v>
      </c>
      <c r="N149">
        <v>1</v>
      </c>
      <c r="Q149" s="5" t="e">
        <f>VLOOKUP(A149,SaleList!E:G,3,0)</f>
        <v>#N/A</v>
      </c>
      <c r="R149" s="5" t="e">
        <f>VLOOKUP(A149,SaleList!E:H,4,0)</f>
        <v>#N/A</v>
      </c>
      <c r="S149" s="2" t="e">
        <f t="shared" si="8"/>
        <v>#N/A</v>
      </c>
    </row>
    <row r="150" spans="1:19">
      <c r="A150">
        <v>149</v>
      </c>
      <c r="B150" t="s">
        <v>299</v>
      </c>
      <c r="C150">
        <v>80000</v>
      </c>
      <c r="D150" s="2" t="e">
        <f>VLOOKUP(A150,SaleList!E:E,1,0)</f>
        <v>#N/A</v>
      </c>
      <c r="E150" s="2" t="e">
        <f>VLOOKUP(A150,SaleList!E:F,2,0)</f>
        <v>#N/A</v>
      </c>
      <c r="F150" s="2" t="e">
        <f t="shared" si="6"/>
        <v>#N/A</v>
      </c>
      <c r="G150" s="2">
        <f t="shared" si="7"/>
        <v>80000</v>
      </c>
      <c r="H150">
        <v>13</v>
      </c>
      <c r="I150">
        <v>1</v>
      </c>
      <c r="J150" s="3" t="str">
        <f>VLOOKUP(I150,User!A:D,4,0)</f>
        <v>손준서</v>
      </c>
      <c r="K150">
        <v>8</v>
      </c>
      <c r="L150">
        <v>3</v>
      </c>
      <c r="M150">
        <v>9</v>
      </c>
      <c r="N150">
        <v>10</v>
      </c>
      <c r="Q150" s="5" t="e">
        <f>VLOOKUP(A150,SaleList!E:G,3,0)</f>
        <v>#N/A</v>
      </c>
      <c r="R150" s="5" t="e">
        <f>VLOOKUP(A150,SaleList!E:H,4,0)</f>
        <v>#N/A</v>
      </c>
      <c r="S150" s="2" t="e">
        <f t="shared" si="8"/>
        <v>#N/A</v>
      </c>
    </row>
    <row r="151" spans="1:19">
      <c r="A151">
        <v>150</v>
      </c>
      <c r="B151" t="s">
        <v>300</v>
      </c>
      <c r="C151">
        <v>95000</v>
      </c>
      <c r="D151" s="2" t="e">
        <f>VLOOKUP(A151,SaleList!E:E,1,0)</f>
        <v>#N/A</v>
      </c>
      <c r="E151" s="2" t="e">
        <f>VLOOKUP(A151,SaleList!E:F,2,0)</f>
        <v>#N/A</v>
      </c>
      <c r="F151" s="2" t="e">
        <f t="shared" si="6"/>
        <v>#N/A</v>
      </c>
      <c r="G151" s="2">
        <f t="shared" si="7"/>
        <v>95000</v>
      </c>
      <c r="H151">
        <v>13</v>
      </c>
      <c r="I151">
        <v>20</v>
      </c>
      <c r="J151" s="3" t="str">
        <f>VLOOKUP(I151,User!A:D,4,0)</f>
        <v>이현준</v>
      </c>
      <c r="K151">
        <v>2</v>
      </c>
      <c r="L151">
        <v>5</v>
      </c>
      <c r="M151">
        <v>2</v>
      </c>
      <c r="N151">
        <v>6</v>
      </c>
      <c r="Q151" s="5" t="e">
        <f>VLOOKUP(A151,SaleList!E:G,3,0)</f>
        <v>#N/A</v>
      </c>
      <c r="R151" s="5" t="e">
        <f>VLOOKUP(A151,SaleList!E:H,4,0)</f>
        <v>#N/A</v>
      </c>
      <c r="S151" s="2" t="e">
        <f t="shared" si="8"/>
        <v>#N/A</v>
      </c>
    </row>
    <row r="152" spans="1:19">
      <c r="A152">
        <v>151</v>
      </c>
      <c r="B152" t="s">
        <v>301</v>
      </c>
      <c r="C152">
        <v>75000</v>
      </c>
      <c r="D152" s="2" t="e">
        <f>VLOOKUP(A152,SaleList!E:E,1,0)</f>
        <v>#N/A</v>
      </c>
      <c r="E152" s="2" t="e">
        <f>VLOOKUP(A152,SaleList!E:F,2,0)</f>
        <v>#N/A</v>
      </c>
      <c r="F152" s="2" t="e">
        <f t="shared" si="6"/>
        <v>#N/A</v>
      </c>
      <c r="G152" s="2">
        <f t="shared" si="7"/>
        <v>75000</v>
      </c>
      <c r="H152">
        <v>13</v>
      </c>
      <c r="I152">
        <v>2</v>
      </c>
      <c r="J152" s="3" t="str">
        <f>VLOOKUP(I152,User!A:D,4,0)</f>
        <v>이예은</v>
      </c>
      <c r="K152">
        <v>3</v>
      </c>
      <c r="L152">
        <v>10</v>
      </c>
      <c r="M152">
        <v>2</v>
      </c>
      <c r="N152">
        <v>6</v>
      </c>
      <c r="Q152" s="5" t="e">
        <f>VLOOKUP(A152,SaleList!E:G,3,0)</f>
        <v>#N/A</v>
      </c>
      <c r="R152" s="5" t="e">
        <f>VLOOKUP(A152,SaleList!E:H,4,0)</f>
        <v>#N/A</v>
      </c>
      <c r="S152" s="2" t="e">
        <f t="shared" si="8"/>
        <v>#N/A</v>
      </c>
    </row>
    <row r="153" spans="1:19">
      <c r="A153">
        <v>152</v>
      </c>
      <c r="B153" t="s">
        <v>302</v>
      </c>
      <c r="C153">
        <v>55000</v>
      </c>
      <c r="D153" s="2" t="e">
        <f>VLOOKUP(A153,SaleList!E:E,1,0)</f>
        <v>#N/A</v>
      </c>
      <c r="E153" s="2" t="e">
        <f>VLOOKUP(A153,SaleList!E:F,2,0)</f>
        <v>#N/A</v>
      </c>
      <c r="F153" s="2" t="e">
        <f t="shared" si="6"/>
        <v>#N/A</v>
      </c>
      <c r="G153" s="2">
        <f t="shared" si="7"/>
        <v>55000</v>
      </c>
      <c r="H153">
        <v>13</v>
      </c>
      <c r="I153">
        <v>13</v>
      </c>
      <c r="J153" s="3" t="str">
        <f>VLOOKUP(I153,User!A:D,4,0)</f>
        <v>이현정</v>
      </c>
      <c r="K153">
        <v>2</v>
      </c>
      <c r="L153">
        <v>7</v>
      </c>
      <c r="M153">
        <v>5</v>
      </c>
      <c r="N153">
        <v>6</v>
      </c>
      <c r="Q153" s="5" t="e">
        <f>VLOOKUP(A153,SaleList!E:G,3,0)</f>
        <v>#N/A</v>
      </c>
      <c r="R153" s="5" t="e">
        <f>VLOOKUP(A153,SaleList!E:H,4,0)</f>
        <v>#N/A</v>
      </c>
      <c r="S153" s="2" t="e">
        <f t="shared" si="8"/>
        <v>#N/A</v>
      </c>
    </row>
    <row r="154" spans="1:19">
      <c r="A154">
        <v>153</v>
      </c>
      <c r="B154" t="s">
        <v>303</v>
      </c>
      <c r="C154">
        <v>20000</v>
      </c>
      <c r="D154" s="2" t="e">
        <f>VLOOKUP(A154,SaleList!E:E,1,0)</f>
        <v>#N/A</v>
      </c>
      <c r="E154" s="2" t="e">
        <f>VLOOKUP(A154,SaleList!E:F,2,0)</f>
        <v>#N/A</v>
      </c>
      <c r="F154" s="2" t="e">
        <f t="shared" si="6"/>
        <v>#N/A</v>
      </c>
      <c r="G154" s="2">
        <f t="shared" si="7"/>
        <v>20000</v>
      </c>
      <c r="H154">
        <v>14</v>
      </c>
      <c r="I154">
        <v>1</v>
      </c>
      <c r="J154" s="3" t="str">
        <f>VLOOKUP(I154,User!A:D,4,0)</f>
        <v>손준서</v>
      </c>
      <c r="K154">
        <v>0</v>
      </c>
      <c r="L154">
        <v>2</v>
      </c>
      <c r="M154">
        <v>6</v>
      </c>
      <c r="N154">
        <v>6</v>
      </c>
      <c r="Q154" s="5" t="e">
        <f>VLOOKUP(A154,SaleList!E:G,3,0)</f>
        <v>#N/A</v>
      </c>
      <c r="R154" s="5" t="e">
        <f>VLOOKUP(A154,SaleList!E:H,4,0)</f>
        <v>#N/A</v>
      </c>
      <c r="S154" s="2" t="e">
        <f t="shared" si="8"/>
        <v>#N/A</v>
      </c>
    </row>
    <row r="155" spans="1:19">
      <c r="A155">
        <v>154</v>
      </c>
      <c r="B155" t="s">
        <v>304</v>
      </c>
      <c r="C155">
        <v>80000</v>
      </c>
      <c r="D155" s="2" t="e">
        <f>VLOOKUP(A155,SaleList!E:E,1,0)</f>
        <v>#N/A</v>
      </c>
      <c r="E155" s="2" t="e">
        <f>VLOOKUP(A155,SaleList!E:F,2,0)</f>
        <v>#N/A</v>
      </c>
      <c r="F155" s="2" t="e">
        <f t="shared" si="6"/>
        <v>#N/A</v>
      </c>
      <c r="G155" s="2">
        <f t="shared" si="7"/>
        <v>80000</v>
      </c>
      <c r="H155">
        <v>14</v>
      </c>
      <c r="I155">
        <v>28</v>
      </c>
      <c r="J155" s="3" t="str">
        <f>VLOOKUP(I155,User!A:D,4,0)</f>
        <v>류진우</v>
      </c>
      <c r="K155">
        <v>8</v>
      </c>
      <c r="L155">
        <v>7</v>
      </c>
      <c r="M155">
        <v>4</v>
      </c>
      <c r="N155">
        <v>2</v>
      </c>
      <c r="Q155" s="5" t="e">
        <f>VLOOKUP(A155,SaleList!E:G,3,0)</f>
        <v>#N/A</v>
      </c>
      <c r="R155" s="5" t="e">
        <f>VLOOKUP(A155,SaleList!E:H,4,0)</f>
        <v>#N/A</v>
      </c>
      <c r="S155" s="2" t="e">
        <f t="shared" si="8"/>
        <v>#N/A</v>
      </c>
    </row>
    <row r="156" spans="1:19">
      <c r="A156">
        <v>155</v>
      </c>
      <c r="B156" t="s">
        <v>305</v>
      </c>
      <c r="C156">
        <v>50000</v>
      </c>
      <c r="D156" s="2" t="e">
        <f>VLOOKUP(A156,SaleList!E:E,1,0)</f>
        <v>#N/A</v>
      </c>
      <c r="E156" s="2" t="e">
        <f>VLOOKUP(A156,SaleList!E:F,2,0)</f>
        <v>#N/A</v>
      </c>
      <c r="F156" s="2" t="e">
        <f t="shared" si="6"/>
        <v>#N/A</v>
      </c>
      <c r="G156" s="2">
        <f t="shared" si="7"/>
        <v>50000</v>
      </c>
      <c r="H156">
        <v>14</v>
      </c>
      <c r="I156">
        <v>17</v>
      </c>
      <c r="J156" s="3" t="str">
        <f>VLOOKUP(I156,User!A:D,4,0)</f>
        <v>김준서</v>
      </c>
      <c r="K156">
        <v>8</v>
      </c>
      <c r="L156">
        <v>1</v>
      </c>
      <c r="M156">
        <v>2</v>
      </c>
      <c r="N156">
        <v>5</v>
      </c>
      <c r="Q156" s="5" t="e">
        <f>VLOOKUP(A156,SaleList!E:G,3,0)</f>
        <v>#N/A</v>
      </c>
      <c r="R156" s="5" t="e">
        <f>VLOOKUP(A156,SaleList!E:H,4,0)</f>
        <v>#N/A</v>
      </c>
      <c r="S156" s="2" t="e">
        <f t="shared" si="8"/>
        <v>#N/A</v>
      </c>
    </row>
    <row r="157" spans="1:19">
      <c r="A157">
        <v>156</v>
      </c>
      <c r="B157" t="s">
        <v>306</v>
      </c>
      <c r="C157">
        <v>75000</v>
      </c>
      <c r="D157" s="2" t="e">
        <f>VLOOKUP(A157,SaleList!E:E,1,0)</f>
        <v>#N/A</v>
      </c>
      <c r="E157" s="2" t="e">
        <f>VLOOKUP(A157,SaleList!E:F,2,0)</f>
        <v>#N/A</v>
      </c>
      <c r="F157" s="2" t="e">
        <f t="shared" si="6"/>
        <v>#N/A</v>
      </c>
      <c r="G157" s="2">
        <f t="shared" si="7"/>
        <v>75000</v>
      </c>
      <c r="H157">
        <v>14</v>
      </c>
      <c r="I157">
        <v>26</v>
      </c>
      <c r="J157" s="3" t="str">
        <f>VLOOKUP(I157,User!A:D,4,0)</f>
        <v>김은지</v>
      </c>
      <c r="K157">
        <v>3</v>
      </c>
      <c r="L157">
        <v>6</v>
      </c>
      <c r="M157">
        <v>2</v>
      </c>
      <c r="N157">
        <v>2</v>
      </c>
      <c r="Q157" s="5" t="e">
        <f>VLOOKUP(A157,SaleList!E:G,3,0)</f>
        <v>#N/A</v>
      </c>
      <c r="R157" s="5" t="e">
        <f>VLOOKUP(A157,SaleList!E:H,4,0)</f>
        <v>#N/A</v>
      </c>
      <c r="S157" s="2" t="e">
        <f t="shared" si="8"/>
        <v>#N/A</v>
      </c>
    </row>
    <row r="158" spans="1:19">
      <c r="A158">
        <v>157</v>
      </c>
      <c r="B158" t="s">
        <v>307</v>
      </c>
      <c r="C158">
        <v>85000</v>
      </c>
      <c r="D158" s="2" t="e">
        <f>VLOOKUP(A158,SaleList!E:E,1,0)</f>
        <v>#N/A</v>
      </c>
      <c r="E158" s="2" t="e">
        <f>VLOOKUP(A158,SaleList!E:F,2,0)</f>
        <v>#N/A</v>
      </c>
      <c r="F158" s="2" t="e">
        <f t="shared" si="6"/>
        <v>#N/A</v>
      </c>
      <c r="G158" s="2">
        <f t="shared" si="7"/>
        <v>85000</v>
      </c>
      <c r="H158">
        <v>15</v>
      </c>
      <c r="I158">
        <v>3</v>
      </c>
      <c r="J158" s="3" t="str">
        <f>VLOOKUP(I158,User!A:D,4,0)</f>
        <v>강수빈</v>
      </c>
      <c r="K158">
        <v>8</v>
      </c>
      <c r="L158">
        <v>10</v>
      </c>
      <c r="M158">
        <v>1</v>
      </c>
      <c r="N158">
        <v>2</v>
      </c>
      <c r="Q158" s="5" t="e">
        <f>VLOOKUP(A158,SaleList!E:G,3,0)</f>
        <v>#N/A</v>
      </c>
      <c r="R158" s="5" t="e">
        <f>VLOOKUP(A158,SaleList!E:H,4,0)</f>
        <v>#N/A</v>
      </c>
      <c r="S158" s="2" t="e">
        <f t="shared" si="8"/>
        <v>#N/A</v>
      </c>
    </row>
    <row r="159" spans="1:19">
      <c r="A159">
        <v>158</v>
      </c>
      <c r="B159" t="s">
        <v>308</v>
      </c>
      <c r="C159">
        <v>25000</v>
      </c>
      <c r="D159" s="2">
        <f>VLOOKUP(A159,SaleList!E:E,1,0)</f>
        <v>158</v>
      </c>
      <c r="E159" s="2">
        <f>VLOOKUP(A159,SaleList!E:F,2,0)</f>
        <v>10</v>
      </c>
      <c r="F159" s="2">
        <f t="shared" si="6"/>
        <v>22500</v>
      </c>
      <c r="G159" s="2">
        <f t="shared" si="7"/>
        <v>22500</v>
      </c>
      <c r="H159">
        <v>15</v>
      </c>
      <c r="I159">
        <v>10</v>
      </c>
      <c r="J159" s="3" t="str">
        <f>VLOOKUP(I159,User!A:D,4,0)</f>
        <v>김지연</v>
      </c>
      <c r="K159">
        <v>10</v>
      </c>
      <c r="L159">
        <v>5</v>
      </c>
      <c r="M159">
        <v>0</v>
      </c>
      <c r="N159">
        <v>3</v>
      </c>
      <c r="Q159" s="5">
        <f>VLOOKUP(A159,SaleList!E:G,3,0)</f>
        <v>45752</v>
      </c>
      <c r="R159" s="5">
        <f>VLOOKUP(A159,SaleList!E:H,4,0)</f>
        <v>45752</v>
      </c>
      <c r="S159" s="2">
        <f t="shared" si="8"/>
        <v>0</v>
      </c>
    </row>
    <row r="160" spans="1:19">
      <c r="A160">
        <v>159</v>
      </c>
      <c r="B160" t="s">
        <v>309</v>
      </c>
      <c r="C160">
        <v>45000</v>
      </c>
      <c r="D160" s="2" t="e">
        <f>VLOOKUP(A160,SaleList!E:E,1,0)</f>
        <v>#N/A</v>
      </c>
      <c r="E160" s="2" t="e">
        <f>VLOOKUP(A160,SaleList!E:F,2,0)</f>
        <v>#N/A</v>
      </c>
      <c r="F160" s="2" t="e">
        <f t="shared" si="6"/>
        <v>#N/A</v>
      </c>
      <c r="G160" s="2">
        <f t="shared" si="7"/>
        <v>45000</v>
      </c>
      <c r="H160">
        <v>15</v>
      </c>
      <c r="I160">
        <v>16</v>
      </c>
      <c r="J160" s="3" t="str">
        <f>VLOOKUP(I160,User!A:D,4,0)</f>
        <v>우정식</v>
      </c>
      <c r="K160">
        <v>2</v>
      </c>
      <c r="L160">
        <v>0</v>
      </c>
      <c r="M160">
        <v>9</v>
      </c>
      <c r="N160">
        <v>2</v>
      </c>
      <c r="Q160" s="5" t="e">
        <f>VLOOKUP(A160,SaleList!E:G,3,0)</f>
        <v>#N/A</v>
      </c>
      <c r="R160" s="5" t="e">
        <f>VLOOKUP(A160,SaleList!E:H,4,0)</f>
        <v>#N/A</v>
      </c>
      <c r="S160" s="2" t="e">
        <f t="shared" si="8"/>
        <v>#N/A</v>
      </c>
    </row>
    <row r="161" spans="1:19">
      <c r="A161">
        <v>160</v>
      </c>
      <c r="B161" t="s">
        <v>310</v>
      </c>
      <c r="C161">
        <v>10000</v>
      </c>
      <c r="D161" s="2" t="e">
        <f>VLOOKUP(A161,SaleList!E:E,1,0)</f>
        <v>#N/A</v>
      </c>
      <c r="E161" s="2" t="e">
        <f>VLOOKUP(A161,SaleList!E:F,2,0)</f>
        <v>#N/A</v>
      </c>
      <c r="F161" s="2" t="e">
        <f t="shared" si="6"/>
        <v>#N/A</v>
      </c>
      <c r="G161" s="2">
        <f t="shared" si="7"/>
        <v>10000</v>
      </c>
      <c r="H161">
        <v>15</v>
      </c>
      <c r="I161">
        <v>15</v>
      </c>
      <c r="J161" s="3" t="str">
        <f>VLOOKUP(I161,User!A:D,4,0)</f>
        <v>문영길</v>
      </c>
      <c r="K161">
        <v>8</v>
      </c>
      <c r="L161">
        <v>0</v>
      </c>
      <c r="M161">
        <v>0</v>
      </c>
      <c r="N161">
        <v>9</v>
      </c>
      <c r="Q161" s="5" t="e">
        <f>VLOOKUP(A161,SaleList!E:G,3,0)</f>
        <v>#N/A</v>
      </c>
      <c r="R161" s="5" t="e">
        <f>VLOOKUP(A161,SaleList!E:H,4,0)</f>
        <v>#N/A</v>
      </c>
      <c r="S161" s="2" t="e">
        <f t="shared" si="8"/>
        <v>#N/A</v>
      </c>
    </row>
    <row r="162" spans="1:19">
      <c r="A162">
        <v>161</v>
      </c>
      <c r="B162" t="s">
        <v>311</v>
      </c>
      <c r="C162">
        <v>45000</v>
      </c>
      <c r="D162" s="2" t="e">
        <f>VLOOKUP(A162,SaleList!E:E,1,0)</f>
        <v>#N/A</v>
      </c>
      <c r="E162" s="2" t="e">
        <f>VLOOKUP(A162,SaleList!E:F,2,0)</f>
        <v>#N/A</v>
      </c>
      <c r="F162" s="2" t="e">
        <f t="shared" si="6"/>
        <v>#N/A</v>
      </c>
      <c r="G162" s="2">
        <f t="shared" si="7"/>
        <v>45000</v>
      </c>
      <c r="H162">
        <v>16</v>
      </c>
      <c r="I162">
        <v>30</v>
      </c>
      <c r="J162" s="3" t="str">
        <f>VLOOKUP(I162,User!A:D,4,0)</f>
        <v>박성민</v>
      </c>
      <c r="K162">
        <v>4</v>
      </c>
      <c r="L162">
        <v>10</v>
      </c>
      <c r="M162">
        <v>2</v>
      </c>
      <c r="N162">
        <v>3</v>
      </c>
      <c r="Q162" s="5" t="e">
        <f>VLOOKUP(A162,SaleList!E:G,3,0)</f>
        <v>#N/A</v>
      </c>
      <c r="R162" s="5" t="e">
        <f>VLOOKUP(A162,SaleList!E:H,4,0)</f>
        <v>#N/A</v>
      </c>
      <c r="S162" s="2" t="e">
        <f t="shared" si="8"/>
        <v>#N/A</v>
      </c>
    </row>
    <row r="163" spans="1:19">
      <c r="A163">
        <v>162</v>
      </c>
      <c r="B163" t="s">
        <v>312</v>
      </c>
      <c r="C163">
        <v>30000</v>
      </c>
      <c r="D163" s="2" t="e">
        <f>VLOOKUP(A163,SaleList!E:E,1,0)</f>
        <v>#N/A</v>
      </c>
      <c r="E163" s="2" t="e">
        <f>VLOOKUP(A163,SaleList!E:F,2,0)</f>
        <v>#N/A</v>
      </c>
      <c r="F163" s="2" t="e">
        <f t="shared" si="6"/>
        <v>#N/A</v>
      </c>
      <c r="G163" s="2">
        <f t="shared" si="7"/>
        <v>30000</v>
      </c>
      <c r="H163">
        <v>16</v>
      </c>
      <c r="I163">
        <v>21</v>
      </c>
      <c r="J163" s="3" t="str">
        <f>VLOOKUP(I163,User!A:D,4,0)</f>
        <v>김현정</v>
      </c>
      <c r="K163">
        <v>3</v>
      </c>
      <c r="L163">
        <v>3</v>
      </c>
      <c r="M163">
        <v>8</v>
      </c>
      <c r="N163">
        <v>8</v>
      </c>
      <c r="Q163" s="5" t="e">
        <f>VLOOKUP(A163,SaleList!E:G,3,0)</f>
        <v>#N/A</v>
      </c>
      <c r="R163" s="5" t="e">
        <f>VLOOKUP(A163,SaleList!E:H,4,0)</f>
        <v>#N/A</v>
      </c>
      <c r="S163" s="2" t="e">
        <f t="shared" si="8"/>
        <v>#N/A</v>
      </c>
    </row>
    <row r="164" spans="1:19">
      <c r="A164">
        <v>163</v>
      </c>
      <c r="B164" t="s">
        <v>313</v>
      </c>
      <c r="C164">
        <v>60000</v>
      </c>
      <c r="D164" s="2" t="e">
        <f>VLOOKUP(A164,SaleList!E:E,1,0)</f>
        <v>#N/A</v>
      </c>
      <c r="E164" s="2" t="e">
        <f>VLOOKUP(A164,SaleList!E:F,2,0)</f>
        <v>#N/A</v>
      </c>
      <c r="F164" s="2" t="e">
        <f t="shared" si="6"/>
        <v>#N/A</v>
      </c>
      <c r="G164" s="2">
        <f t="shared" si="7"/>
        <v>60000</v>
      </c>
      <c r="H164">
        <v>16</v>
      </c>
      <c r="I164">
        <v>18</v>
      </c>
      <c r="J164" s="3" t="str">
        <f>VLOOKUP(I164,User!A:D,4,0)</f>
        <v>김우진</v>
      </c>
      <c r="K164">
        <v>0</v>
      </c>
      <c r="L164">
        <v>10</v>
      </c>
      <c r="M164">
        <v>3</v>
      </c>
      <c r="N164">
        <v>5</v>
      </c>
      <c r="Q164" s="5" t="e">
        <f>VLOOKUP(A164,SaleList!E:G,3,0)</f>
        <v>#N/A</v>
      </c>
      <c r="R164" s="5" t="e">
        <f>VLOOKUP(A164,SaleList!E:H,4,0)</f>
        <v>#N/A</v>
      </c>
      <c r="S164" s="2" t="e">
        <f t="shared" si="8"/>
        <v>#N/A</v>
      </c>
    </row>
    <row r="165" spans="1:19">
      <c r="A165">
        <v>164</v>
      </c>
      <c r="B165" t="s">
        <v>314</v>
      </c>
      <c r="C165">
        <v>20000</v>
      </c>
      <c r="D165" s="2" t="e">
        <f>VLOOKUP(A165,SaleList!E:E,1,0)</f>
        <v>#N/A</v>
      </c>
      <c r="E165" s="2" t="e">
        <f>VLOOKUP(A165,SaleList!E:F,2,0)</f>
        <v>#N/A</v>
      </c>
      <c r="F165" s="2" t="e">
        <f t="shared" si="6"/>
        <v>#N/A</v>
      </c>
      <c r="G165" s="2">
        <f t="shared" si="7"/>
        <v>20000</v>
      </c>
      <c r="H165">
        <v>16</v>
      </c>
      <c r="I165">
        <v>6</v>
      </c>
      <c r="J165" s="3" t="str">
        <f>VLOOKUP(I165,User!A:D,4,0)</f>
        <v>이성민</v>
      </c>
      <c r="K165">
        <v>4</v>
      </c>
      <c r="L165">
        <v>1</v>
      </c>
      <c r="M165">
        <v>10</v>
      </c>
      <c r="N165">
        <v>4</v>
      </c>
      <c r="Q165" s="5" t="e">
        <f>VLOOKUP(A165,SaleList!E:G,3,0)</f>
        <v>#N/A</v>
      </c>
      <c r="R165" s="5" t="e">
        <f>VLOOKUP(A165,SaleList!E:H,4,0)</f>
        <v>#N/A</v>
      </c>
      <c r="S165" s="2" t="e">
        <f t="shared" si="8"/>
        <v>#N/A</v>
      </c>
    </row>
    <row r="166" spans="1:19">
      <c r="A166">
        <v>165</v>
      </c>
      <c r="B166" t="s">
        <v>315</v>
      </c>
      <c r="C166">
        <v>55000</v>
      </c>
      <c r="D166" s="2" t="e">
        <f>VLOOKUP(A166,SaleList!E:E,1,0)</f>
        <v>#N/A</v>
      </c>
      <c r="E166" s="2" t="e">
        <f>VLOOKUP(A166,SaleList!E:F,2,0)</f>
        <v>#N/A</v>
      </c>
      <c r="F166" s="2" t="e">
        <f t="shared" si="6"/>
        <v>#N/A</v>
      </c>
      <c r="G166" s="2">
        <f t="shared" si="7"/>
        <v>55000</v>
      </c>
      <c r="H166">
        <v>17</v>
      </c>
      <c r="I166">
        <v>17</v>
      </c>
      <c r="J166" s="3" t="str">
        <f>VLOOKUP(I166,User!A:D,4,0)</f>
        <v>김준서</v>
      </c>
      <c r="K166">
        <v>3</v>
      </c>
      <c r="L166">
        <v>10</v>
      </c>
      <c r="M166">
        <v>0</v>
      </c>
      <c r="N166">
        <v>5</v>
      </c>
      <c r="Q166" s="5" t="e">
        <f>VLOOKUP(A166,SaleList!E:G,3,0)</f>
        <v>#N/A</v>
      </c>
      <c r="R166" s="5" t="e">
        <f>VLOOKUP(A166,SaleList!E:H,4,0)</f>
        <v>#N/A</v>
      </c>
      <c r="S166" s="2" t="e">
        <f t="shared" si="8"/>
        <v>#N/A</v>
      </c>
    </row>
    <row r="167" spans="1:19">
      <c r="A167">
        <v>166</v>
      </c>
      <c r="B167" t="s">
        <v>316</v>
      </c>
      <c r="C167">
        <v>80000</v>
      </c>
      <c r="D167" s="2" t="e">
        <f>VLOOKUP(A167,SaleList!E:E,1,0)</f>
        <v>#N/A</v>
      </c>
      <c r="E167" s="2" t="e">
        <f>VLOOKUP(A167,SaleList!E:F,2,0)</f>
        <v>#N/A</v>
      </c>
      <c r="F167" s="2" t="e">
        <f t="shared" si="6"/>
        <v>#N/A</v>
      </c>
      <c r="G167" s="2">
        <f t="shared" si="7"/>
        <v>80000</v>
      </c>
      <c r="H167">
        <v>17</v>
      </c>
      <c r="I167">
        <v>27</v>
      </c>
      <c r="J167" s="3" t="str">
        <f>VLOOKUP(I167,User!A:D,4,0)</f>
        <v>김정희</v>
      </c>
      <c r="K167">
        <v>6</v>
      </c>
      <c r="L167">
        <v>9</v>
      </c>
      <c r="M167">
        <v>10</v>
      </c>
      <c r="N167">
        <v>1</v>
      </c>
      <c r="Q167" s="5" t="e">
        <f>VLOOKUP(A167,SaleList!E:G,3,0)</f>
        <v>#N/A</v>
      </c>
      <c r="R167" s="5" t="e">
        <f>VLOOKUP(A167,SaleList!E:H,4,0)</f>
        <v>#N/A</v>
      </c>
      <c r="S167" s="2" t="e">
        <f t="shared" si="8"/>
        <v>#N/A</v>
      </c>
    </row>
    <row r="168" spans="1:19">
      <c r="A168">
        <v>167</v>
      </c>
      <c r="B168" t="s">
        <v>317</v>
      </c>
      <c r="C168">
        <v>15000</v>
      </c>
      <c r="D168" s="2" t="e">
        <f>VLOOKUP(A168,SaleList!E:E,1,0)</f>
        <v>#N/A</v>
      </c>
      <c r="E168" s="2" t="e">
        <f>VLOOKUP(A168,SaleList!E:F,2,0)</f>
        <v>#N/A</v>
      </c>
      <c r="F168" s="2" t="e">
        <f t="shared" si="6"/>
        <v>#N/A</v>
      </c>
      <c r="G168" s="2">
        <f t="shared" si="7"/>
        <v>15000</v>
      </c>
      <c r="H168">
        <v>17</v>
      </c>
      <c r="I168">
        <v>15</v>
      </c>
      <c r="J168" s="3" t="str">
        <f>VLOOKUP(I168,User!A:D,4,0)</f>
        <v>문영길</v>
      </c>
      <c r="K168">
        <v>9</v>
      </c>
      <c r="L168">
        <v>9</v>
      </c>
      <c r="M168">
        <v>8</v>
      </c>
      <c r="N168">
        <v>5</v>
      </c>
      <c r="Q168" s="5" t="e">
        <f>VLOOKUP(A168,SaleList!E:G,3,0)</f>
        <v>#N/A</v>
      </c>
      <c r="R168" s="5" t="e">
        <f>VLOOKUP(A168,SaleList!E:H,4,0)</f>
        <v>#N/A</v>
      </c>
      <c r="S168" s="2" t="e">
        <f t="shared" si="8"/>
        <v>#N/A</v>
      </c>
    </row>
    <row r="169" spans="1:19">
      <c r="A169">
        <v>168</v>
      </c>
      <c r="B169" t="s">
        <v>318</v>
      </c>
      <c r="C169">
        <v>80000</v>
      </c>
      <c r="D169" s="2" t="e">
        <f>VLOOKUP(A169,SaleList!E:E,1,0)</f>
        <v>#N/A</v>
      </c>
      <c r="E169" s="2" t="e">
        <f>VLOOKUP(A169,SaleList!E:F,2,0)</f>
        <v>#N/A</v>
      </c>
      <c r="F169" s="2" t="e">
        <f t="shared" si="6"/>
        <v>#N/A</v>
      </c>
      <c r="G169" s="2">
        <f t="shared" si="7"/>
        <v>80000</v>
      </c>
      <c r="H169">
        <v>17</v>
      </c>
      <c r="I169">
        <v>3</v>
      </c>
      <c r="J169" s="3" t="str">
        <f>VLOOKUP(I169,User!A:D,4,0)</f>
        <v>강수빈</v>
      </c>
      <c r="K169">
        <v>8</v>
      </c>
      <c r="L169">
        <v>6</v>
      </c>
      <c r="M169">
        <v>8</v>
      </c>
      <c r="N169">
        <v>8</v>
      </c>
      <c r="Q169" s="5" t="e">
        <f>VLOOKUP(A169,SaleList!E:G,3,0)</f>
        <v>#N/A</v>
      </c>
      <c r="R169" s="5" t="e">
        <f>VLOOKUP(A169,SaleList!E:H,4,0)</f>
        <v>#N/A</v>
      </c>
      <c r="S169" s="2" t="e">
        <f t="shared" si="8"/>
        <v>#N/A</v>
      </c>
    </row>
    <row r="170" spans="1:19">
      <c r="A170">
        <v>169</v>
      </c>
      <c r="B170" t="s">
        <v>319</v>
      </c>
      <c r="C170">
        <v>10000</v>
      </c>
      <c r="D170" s="2" t="e">
        <f>VLOOKUP(A170,SaleList!E:E,1,0)</f>
        <v>#N/A</v>
      </c>
      <c r="E170" s="2" t="e">
        <f>VLOOKUP(A170,SaleList!E:F,2,0)</f>
        <v>#N/A</v>
      </c>
      <c r="F170" s="2" t="e">
        <f t="shared" si="6"/>
        <v>#N/A</v>
      </c>
      <c r="G170" s="2">
        <f t="shared" si="7"/>
        <v>10000</v>
      </c>
      <c r="H170">
        <v>18</v>
      </c>
      <c r="I170">
        <v>2</v>
      </c>
      <c r="J170" s="3" t="str">
        <f>VLOOKUP(I170,User!A:D,4,0)</f>
        <v>이예은</v>
      </c>
      <c r="K170">
        <v>0</v>
      </c>
      <c r="L170">
        <v>6</v>
      </c>
      <c r="M170">
        <v>1</v>
      </c>
      <c r="N170">
        <v>2</v>
      </c>
      <c r="Q170" s="5" t="e">
        <f>VLOOKUP(A170,SaleList!E:G,3,0)</f>
        <v>#N/A</v>
      </c>
      <c r="R170" s="5" t="e">
        <f>VLOOKUP(A170,SaleList!E:H,4,0)</f>
        <v>#N/A</v>
      </c>
      <c r="S170" s="2" t="e">
        <f t="shared" si="8"/>
        <v>#N/A</v>
      </c>
    </row>
    <row r="171" spans="1:19">
      <c r="A171">
        <v>170</v>
      </c>
      <c r="B171" t="s">
        <v>320</v>
      </c>
      <c r="C171">
        <v>35000</v>
      </c>
      <c r="D171" s="2" t="e">
        <f>VLOOKUP(A171,SaleList!E:E,1,0)</f>
        <v>#N/A</v>
      </c>
      <c r="E171" s="2" t="e">
        <f>VLOOKUP(A171,SaleList!E:F,2,0)</f>
        <v>#N/A</v>
      </c>
      <c r="F171" s="2" t="e">
        <f t="shared" si="6"/>
        <v>#N/A</v>
      </c>
      <c r="G171" s="2">
        <f t="shared" si="7"/>
        <v>35000</v>
      </c>
      <c r="H171">
        <v>18</v>
      </c>
      <c r="I171">
        <v>22</v>
      </c>
      <c r="J171" s="3" t="str">
        <f>VLOOKUP(I171,User!A:D,4,0)</f>
        <v>손현우</v>
      </c>
      <c r="K171">
        <v>8</v>
      </c>
      <c r="L171">
        <v>7</v>
      </c>
      <c r="M171">
        <v>0</v>
      </c>
      <c r="N171">
        <v>9</v>
      </c>
      <c r="Q171" s="5" t="e">
        <f>VLOOKUP(A171,SaleList!E:G,3,0)</f>
        <v>#N/A</v>
      </c>
      <c r="R171" s="5" t="e">
        <f>VLOOKUP(A171,SaleList!E:H,4,0)</f>
        <v>#N/A</v>
      </c>
      <c r="S171" s="2" t="e">
        <f t="shared" si="8"/>
        <v>#N/A</v>
      </c>
    </row>
    <row r="172" spans="1:19">
      <c r="A172">
        <v>171</v>
      </c>
      <c r="B172" t="s">
        <v>321</v>
      </c>
      <c r="C172">
        <v>55000</v>
      </c>
      <c r="D172" s="2" t="e">
        <f>VLOOKUP(A172,SaleList!E:E,1,0)</f>
        <v>#N/A</v>
      </c>
      <c r="E172" s="2" t="e">
        <f>VLOOKUP(A172,SaleList!E:F,2,0)</f>
        <v>#N/A</v>
      </c>
      <c r="F172" s="2" t="e">
        <f t="shared" si="6"/>
        <v>#N/A</v>
      </c>
      <c r="G172" s="2">
        <f t="shared" si="7"/>
        <v>55000</v>
      </c>
      <c r="H172">
        <v>18</v>
      </c>
      <c r="I172">
        <v>12</v>
      </c>
      <c r="J172" s="3" t="str">
        <f>VLOOKUP(I172,User!A:D,4,0)</f>
        <v>이상현</v>
      </c>
      <c r="K172">
        <v>5</v>
      </c>
      <c r="L172">
        <v>8</v>
      </c>
      <c r="M172">
        <v>5</v>
      </c>
      <c r="N172">
        <v>9</v>
      </c>
      <c r="Q172" s="5" t="e">
        <f>VLOOKUP(A172,SaleList!E:G,3,0)</f>
        <v>#N/A</v>
      </c>
      <c r="R172" s="5" t="e">
        <f>VLOOKUP(A172,SaleList!E:H,4,0)</f>
        <v>#N/A</v>
      </c>
      <c r="S172" s="2" t="e">
        <f t="shared" si="8"/>
        <v>#N/A</v>
      </c>
    </row>
    <row r="173" spans="1:19">
      <c r="A173">
        <v>172</v>
      </c>
      <c r="B173" t="s">
        <v>322</v>
      </c>
      <c r="C173">
        <v>5000</v>
      </c>
      <c r="D173" s="2" t="e">
        <f>VLOOKUP(A173,SaleList!E:E,1,0)</f>
        <v>#N/A</v>
      </c>
      <c r="E173" s="2" t="e">
        <f>VLOOKUP(A173,SaleList!E:F,2,0)</f>
        <v>#N/A</v>
      </c>
      <c r="F173" s="2" t="e">
        <f t="shared" si="6"/>
        <v>#N/A</v>
      </c>
      <c r="G173" s="2">
        <f t="shared" si="7"/>
        <v>5000</v>
      </c>
      <c r="H173">
        <v>18</v>
      </c>
      <c r="I173">
        <v>29</v>
      </c>
      <c r="J173" s="3" t="str">
        <f>VLOOKUP(I173,User!A:D,4,0)</f>
        <v>문민지</v>
      </c>
      <c r="K173">
        <v>9</v>
      </c>
      <c r="L173">
        <v>8</v>
      </c>
      <c r="M173">
        <v>8</v>
      </c>
      <c r="N173">
        <v>5</v>
      </c>
      <c r="Q173" s="5" t="e">
        <f>VLOOKUP(A173,SaleList!E:G,3,0)</f>
        <v>#N/A</v>
      </c>
      <c r="R173" s="5" t="e">
        <f>VLOOKUP(A173,SaleList!E:H,4,0)</f>
        <v>#N/A</v>
      </c>
      <c r="S173" s="2" t="e">
        <f t="shared" si="8"/>
        <v>#N/A</v>
      </c>
    </row>
    <row r="174" spans="1:19">
      <c r="A174">
        <v>173</v>
      </c>
      <c r="B174" t="s">
        <v>323</v>
      </c>
      <c r="C174">
        <v>85000</v>
      </c>
      <c r="D174" s="2" t="e">
        <f>VLOOKUP(A174,SaleList!E:E,1,0)</f>
        <v>#N/A</v>
      </c>
      <c r="E174" s="2" t="e">
        <f>VLOOKUP(A174,SaleList!E:F,2,0)</f>
        <v>#N/A</v>
      </c>
      <c r="F174" s="2" t="e">
        <f t="shared" si="6"/>
        <v>#N/A</v>
      </c>
      <c r="G174" s="2">
        <f t="shared" si="7"/>
        <v>85000</v>
      </c>
      <c r="H174">
        <v>19</v>
      </c>
      <c r="I174">
        <v>26</v>
      </c>
      <c r="J174" s="3" t="str">
        <f>VLOOKUP(I174,User!A:D,4,0)</f>
        <v>김은지</v>
      </c>
      <c r="K174">
        <v>0</v>
      </c>
      <c r="L174">
        <v>7</v>
      </c>
      <c r="M174">
        <v>2</v>
      </c>
      <c r="N174">
        <v>6</v>
      </c>
      <c r="Q174" s="5" t="e">
        <f>VLOOKUP(A174,SaleList!E:G,3,0)</f>
        <v>#N/A</v>
      </c>
      <c r="R174" s="5" t="e">
        <f>VLOOKUP(A174,SaleList!E:H,4,0)</f>
        <v>#N/A</v>
      </c>
      <c r="S174" s="2" t="e">
        <f t="shared" si="8"/>
        <v>#N/A</v>
      </c>
    </row>
    <row r="175" spans="1:19">
      <c r="A175">
        <v>174</v>
      </c>
      <c r="B175" t="s">
        <v>324</v>
      </c>
      <c r="C175">
        <v>55000</v>
      </c>
      <c r="D175" s="2" t="e">
        <f>VLOOKUP(A175,SaleList!E:E,1,0)</f>
        <v>#N/A</v>
      </c>
      <c r="E175" s="2" t="e">
        <f>VLOOKUP(A175,SaleList!E:F,2,0)</f>
        <v>#N/A</v>
      </c>
      <c r="F175" s="2" t="e">
        <f t="shared" si="6"/>
        <v>#N/A</v>
      </c>
      <c r="G175" s="2">
        <f t="shared" si="7"/>
        <v>55000</v>
      </c>
      <c r="H175">
        <v>19</v>
      </c>
      <c r="I175">
        <v>9</v>
      </c>
      <c r="J175" s="3" t="str">
        <f>VLOOKUP(I175,User!A:D,4,0)</f>
        <v>엄지혜</v>
      </c>
      <c r="K175">
        <v>9</v>
      </c>
      <c r="L175">
        <v>0</v>
      </c>
      <c r="M175">
        <v>3</v>
      </c>
      <c r="N175">
        <v>4</v>
      </c>
      <c r="Q175" s="5" t="e">
        <f>VLOOKUP(A175,SaleList!E:G,3,0)</f>
        <v>#N/A</v>
      </c>
      <c r="R175" s="5" t="e">
        <f>VLOOKUP(A175,SaleList!E:H,4,0)</f>
        <v>#N/A</v>
      </c>
      <c r="S175" s="2" t="e">
        <f t="shared" si="8"/>
        <v>#N/A</v>
      </c>
    </row>
    <row r="176" spans="1:19">
      <c r="A176">
        <v>175</v>
      </c>
      <c r="B176" t="s">
        <v>325</v>
      </c>
      <c r="C176">
        <v>25000</v>
      </c>
      <c r="D176" s="2" t="e">
        <f>VLOOKUP(A176,SaleList!E:E,1,0)</f>
        <v>#N/A</v>
      </c>
      <c r="E176" s="2" t="e">
        <f>VLOOKUP(A176,SaleList!E:F,2,0)</f>
        <v>#N/A</v>
      </c>
      <c r="F176" s="2" t="e">
        <f t="shared" si="6"/>
        <v>#N/A</v>
      </c>
      <c r="G176" s="2">
        <f t="shared" si="7"/>
        <v>25000</v>
      </c>
      <c r="H176">
        <v>19</v>
      </c>
      <c r="I176">
        <v>3</v>
      </c>
      <c r="J176" s="3" t="str">
        <f>VLOOKUP(I176,User!A:D,4,0)</f>
        <v>강수빈</v>
      </c>
      <c r="K176">
        <v>6</v>
      </c>
      <c r="L176">
        <v>8</v>
      </c>
      <c r="M176">
        <v>5</v>
      </c>
      <c r="N176">
        <v>0</v>
      </c>
      <c r="Q176" s="5" t="e">
        <f>VLOOKUP(A176,SaleList!E:G,3,0)</f>
        <v>#N/A</v>
      </c>
      <c r="R176" s="5" t="e">
        <f>VLOOKUP(A176,SaleList!E:H,4,0)</f>
        <v>#N/A</v>
      </c>
      <c r="S176" s="2" t="e">
        <f t="shared" si="8"/>
        <v>#N/A</v>
      </c>
    </row>
    <row r="177" spans="1:19">
      <c r="A177">
        <v>176</v>
      </c>
      <c r="B177" t="s">
        <v>326</v>
      </c>
      <c r="C177">
        <v>15000</v>
      </c>
      <c r="D177" s="2" t="e">
        <f>VLOOKUP(A177,SaleList!E:E,1,0)</f>
        <v>#N/A</v>
      </c>
      <c r="E177" s="2" t="e">
        <f>VLOOKUP(A177,SaleList!E:F,2,0)</f>
        <v>#N/A</v>
      </c>
      <c r="F177" s="2" t="e">
        <f t="shared" si="6"/>
        <v>#N/A</v>
      </c>
      <c r="G177" s="2">
        <f t="shared" si="7"/>
        <v>15000</v>
      </c>
      <c r="H177">
        <v>19</v>
      </c>
      <c r="I177">
        <v>27</v>
      </c>
      <c r="J177" s="3" t="str">
        <f>VLOOKUP(I177,User!A:D,4,0)</f>
        <v>김정희</v>
      </c>
      <c r="K177">
        <v>5</v>
      </c>
      <c r="L177">
        <v>6</v>
      </c>
      <c r="M177">
        <v>3</v>
      </c>
      <c r="N177">
        <v>8</v>
      </c>
      <c r="Q177" s="5" t="e">
        <f>VLOOKUP(A177,SaleList!E:G,3,0)</f>
        <v>#N/A</v>
      </c>
      <c r="R177" s="5" t="e">
        <f>VLOOKUP(A177,SaleList!E:H,4,0)</f>
        <v>#N/A</v>
      </c>
      <c r="S177" s="2" t="e">
        <f t="shared" si="8"/>
        <v>#N/A</v>
      </c>
    </row>
    <row r="178" spans="1:19">
      <c r="A178">
        <v>177</v>
      </c>
      <c r="B178" t="s">
        <v>327</v>
      </c>
      <c r="C178">
        <v>30000</v>
      </c>
      <c r="D178" s="2" t="e">
        <f>VLOOKUP(A178,SaleList!E:E,1,0)</f>
        <v>#N/A</v>
      </c>
      <c r="E178" s="2" t="e">
        <f>VLOOKUP(A178,SaleList!E:F,2,0)</f>
        <v>#N/A</v>
      </c>
      <c r="F178" s="2" t="e">
        <f t="shared" si="6"/>
        <v>#N/A</v>
      </c>
      <c r="G178" s="2">
        <f t="shared" si="7"/>
        <v>30000</v>
      </c>
      <c r="H178">
        <v>20</v>
      </c>
      <c r="I178">
        <v>29</v>
      </c>
      <c r="J178" s="3" t="str">
        <f>VLOOKUP(I178,User!A:D,4,0)</f>
        <v>문민지</v>
      </c>
      <c r="K178">
        <v>3</v>
      </c>
      <c r="L178">
        <v>8</v>
      </c>
      <c r="M178">
        <v>8</v>
      </c>
      <c r="N178">
        <v>10</v>
      </c>
      <c r="Q178" s="5" t="e">
        <f>VLOOKUP(A178,SaleList!E:G,3,0)</f>
        <v>#N/A</v>
      </c>
      <c r="R178" s="5" t="e">
        <f>VLOOKUP(A178,SaleList!E:H,4,0)</f>
        <v>#N/A</v>
      </c>
      <c r="S178" s="2" t="e">
        <f t="shared" si="8"/>
        <v>#N/A</v>
      </c>
    </row>
    <row r="179" spans="1:19">
      <c r="A179">
        <v>178</v>
      </c>
      <c r="B179" t="s">
        <v>328</v>
      </c>
      <c r="C179">
        <v>55000</v>
      </c>
      <c r="D179" s="2" t="e">
        <f>VLOOKUP(A179,SaleList!E:E,1,0)</f>
        <v>#N/A</v>
      </c>
      <c r="E179" s="2" t="e">
        <f>VLOOKUP(A179,SaleList!E:F,2,0)</f>
        <v>#N/A</v>
      </c>
      <c r="F179" s="2" t="e">
        <f t="shared" si="6"/>
        <v>#N/A</v>
      </c>
      <c r="G179" s="2">
        <f t="shared" si="7"/>
        <v>55000</v>
      </c>
      <c r="H179">
        <v>20</v>
      </c>
      <c r="I179">
        <v>20</v>
      </c>
      <c r="J179" s="3" t="str">
        <f>VLOOKUP(I179,User!A:D,4,0)</f>
        <v>이현준</v>
      </c>
      <c r="K179">
        <v>1</v>
      </c>
      <c r="L179">
        <v>9</v>
      </c>
      <c r="M179">
        <v>6</v>
      </c>
      <c r="N179">
        <v>5</v>
      </c>
      <c r="Q179" s="5" t="e">
        <f>VLOOKUP(A179,SaleList!E:G,3,0)</f>
        <v>#N/A</v>
      </c>
      <c r="R179" s="5" t="e">
        <f>VLOOKUP(A179,SaleList!E:H,4,0)</f>
        <v>#N/A</v>
      </c>
      <c r="S179" s="2" t="e">
        <f t="shared" si="8"/>
        <v>#N/A</v>
      </c>
    </row>
    <row r="180" spans="1:19">
      <c r="A180">
        <v>179</v>
      </c>
      <c r="B180" t="s">
        <v>329</v>
      </c>
      <c r="C180">
        <v>35000</v>
      </c>
      <c r="D180" s="2" t="e">
        <f>VLOOKUP(A180,SaleList!E:E,1,0)</f>
        <v>#N/A</v>
      </c>
      <c r="E180" s="2" t="e">
        <f>VLOOKUP(A180,SaleList!E:F,2,0)</f>
        <v>#N/A</v>
      </c>
      <c r="F180" s="2" t="e">
        <f t="shared" si="6"/>
        <v>#N/A</v>
      </c>
      <c r="G180" s="2">
        <f t="shared" si="7"/>
        <v>35000</v>
      </c>
      <c r="H180">
        <v>20</v>
      </c>
      <c r="I180">
        <v>21</v>
      </c>
      <c r="J180" s="3" t="str">
        <f>VLOOKUP(I180,User!A:D,4,0)</f>
        <v>김현정</v>
      </c>
      <c r="K180">
        <v>8</v>
      </c>
      <c r="L180">
        <v>8</v>
      </c>
      <c r="M180">
        <v>4</v>
      </c>
      <c r="N180">
        <v>5</v>
      </c>
      <c r="Q180" s="5" t="e">
        <f>VLOOKUP(A180,SaleList!E:G,3,0)</f>
        <v>#N/A</v>
      </c>
      <c r="R180" s="5" t="e">
        <f>VLOOKUP(A180,SaleList!E:H,4,0)</f>
        <v>#N/A</v>
      </c>
      <c r="S180" s="2" t="e">
        <f t="shared" si="8"/>
        <v>#N/A</v>
      </c>
    </row>
    <row r="181" spans="1:19">
      <c r="A181">
        <v>180</v>
      </c>
      <c r="B181" t="s">
        <v>330</v>
      </c>
      <c r="C181">
        <v>70000</v>
      </c>
      <c r="D181" s="2" t="e">
        <f>VLOOKUP(A181,SaleList!E:E,1,0)</f>
        <v>#N/A</v>
      </c>
      <c r="E181" s="2" t="e">
        <f>VLOOKUP(A181,SaleList!E:F,2,0)</f>
        <v>#N/A</v>
      </c>
      <c r="F181" s="2" t="e">
        <f t="shared" si="6"/>
        <v>#N/A</v>
      </c>
      <c r="G181" s="2">
        <f t="shared" si="7"/>
        <v>70000</v>
      </c>
      <c r="H181">
        <v>20</v>
      </c>
      <c r="I181">
        <v>27</v>
      </c>
      <c r="J181" s="3" t="str">
        <f>VLOOKUP(I181,User!A:D,4,0)</f>
        <v>김정희</v>
      </c>
      <c r="K181">
        <v>0</v>
      </c>
      <c r="L181">
        <v>3</v>
      </c>
      <c r="M181">
        <v>6</v>
      </c>
      <c r="N181">
        <v>5</v>
      </c>
      <c r="Q181" s="5" t="e">
        <f>VLOOKUP(A181,SaleList!E:G,3,0)</f>
        <v>#N/A</v>
      </c>
      <c r="R181" s="5" t="e">
        <f>VLOOKUP(A181,SaleList!E:H,4,0)</f>
        <v>#N/A</v>
      </c>
      <c r="S181" s="2" t="e">
        <f t="shared" si="8"/>
        <v>#N/A</v>
      </c>
    </row>
    <row r="182" spans="1:19">
      <c r="A182">
        <v>181</v>
      </c>
      <c r="B182" t="s">
        <v>331</v>
      </c>
      <c r="C182">
        <v>10000</v>
      </c>
      <c r="D182" s="2" t="e">
        <f>VLOOKUP(A182,SaleList!E:E,1,0)</f>
        <v>#N/A</v>
      </c>
      <c r="E182" s="2" t="e">
        <f>VLOOKUP(A182,SaleList!E:F,2,0)</f>
        <v>#N/A</v>
      </c>
      <c r="F182" s="2" t="e">
        <f t="shared" si="6"/>
        <v>#N/A</v>
      </c>
      <c r="G182" s="2">
        <f t="shared" si="7"/>
        <v>10000</v>
      </c>
      <c r="H182">
        <v>21</v>
      </c>
      <c r="I182">
        <v>27</v>
      </c>
      <c r="J182" s="3" t="str">
        <f>VLOOKUP(I182,User!A:D,4,0)</f>
        <v>김정희</v>
      </c>
      <c r="K182">
        <v>4</v>
      </c>
      <c r="L182">
        <v>6</v>
      </c>
      <c r="M182">
        <v>3</v>
      </c>
      <c r="N182">
        <v>1</v>
      </c>
      <c r="Q182" s="5" t="e">
        <f>VLOOKUP(A182,SaleList!E:G,3,0)</f>
        <v>#N/A</v>
      </c>
      <c r="R182" s="5" t="e">
        <f>VLOOKUP(A182,SaleList!E:H,4,0)</f>
        <v>#N/A</v>
      </c>
      <c r="S182" s="2" t="e">
        <f t="shared" si="8"/>
        <v>#N/A</v>
      </c>
    </row>
    <row r="183" spans="1:19">
      <c r="A183">
        <v>182</v>
      </c>
      <c r="B183" t="s">
        <v>332</v>
      </c>
      <c r="C183">
        <v>35000</v>
      </c>
      <c r="D183" s="2" t="e">
        <f>VLOOKUP(A183,SaleList!E:E,1,0)</f>
        <v>#N/A</v>
      </c>
      <c r="E183" s="2" t="e">
        <f>VLOOKUP(A183,SaleList!E:F,2,0)</f>
        <v>#N/A</v>
      </c>
      <c r="F183" s="2" t="e">
        <f t="shared" si="6"/>
        <v>#N/A</v>
      </c>
      <c r="G183" s="2">
        <f t="shared" si="7"/>
        <v>35000</v>
      </c>
      <c r="H183">
        <v>21</v>
      </c>
      <c r="I183">
        <v>14</v>
      </c>
      <c r="J183" s="3" t="str">
        <f>VLOOKUP(I183,User!A:D,4,0)</f>
        <v>이영자</v>
      </c>
      <c r="K183">
        <v>9</v>
      </c>
      <c r="L183">
        <v>1</v>
      </c>
      <c r="M183">
        <v>6</v>
      </c>
      <c r="N183">
        <v>0</v>
      </c>
      <c r="Q183" s="5" t="e">
        <f>VLOOKUP(A183,SaleList!E:G,3,0)</f>
        <v>#N/A</v>
      </c>
      <c r="R183" s="5" t="e">
        <f>VLOOKUP(A183,SaleList!E:H,4,0)</f>
        <v>#N/A</v>
      </c>
      <c r="S183" s="2" t="e">
        <f t="shared" si="8"/>
        <v>#N/A</v>
      </c>
    </row>
    <row r="184" spans="1:19">
      <c r="A184">
        <v>183</v>
      </c>
      <c r="B184" t="s">
        <v>333</v>
      </c>
      <c r="C184">
        <v>45000</v>
      </c>
      <c r="D184" s="2" t="e">
        <f>VLOOKUP(A184,SaleList!E:E,1,0)</f>
        <v>#N/A</v>
      </c>
      <c r="E184" s="2" t="e">
        <f>VLOOKUP(A184,SaleList!E:F,2,0)</f>
        <v>#N/A</v>
      </c>
      <c r="F184" s="2" t="e">
        <f t="shared" si="6"/>
        <v>#N/A</v>
      </c>
      <c r="G184" s="2">
        <f t="shared" si="7"/>
        <v>45000</v>
      </c>
      <c r="H184">
        <v>21</v>
      </c>
      <c r="I184">
        <v>2</v>
      </c>
      <c r="J184" s="3" t="str">
        <f>VLOOKUP(I184,User!A:D,4,0)</f>
        <v>이예은</v>
      </c>
      <c r="K184">
        <v>6</v>
      </c>
      <c r="L184">
        <v>7</v>
      </c>
      <c r="M184">
        <v>2</v>
      </c>
      <c r="N184">
        <v>0</v>
      </c>
      <c r="Q184" s="5" t="e">
        <f>VLOOKUP(A184,SaleList!E:G,3,0)</f>
        <v>#N/A</v>
      </c>
      <c r="R184" s="5" t="e">
        <f>VLOOKUP(A184,SaleList!E:H,4,0)</f>
        <v>#N/A</v>
      </c>
      <c r="S184" s="2" t="e">
        <f t="shared" si="8"/>
        <v>#N/A</v>
      </c>
    </row>
    <row r="185" spans="1:19">
      <c r="A185">
        <v>184</v>
      </c>
      <c r="B185" t="s">
        <v>334</v>
      </c>
      <c r="C185">
        <v>95000</v>
      </c>
      <c r="D185" s="2" t="e">
        <f>VLOOKUP(A185,SaleList!E:E,1,0)</f>
        <v>#N/A</v>
      </c>
      <c r="E185" s="2" t="e">
        <f>VLOOKUP(A185,SaleList!E:F,2,0)</f>
        <v>#N/A</v>
      </c>
      <c r="F185" s="2" t="e">
        <f t="shared" si="6"/>
        <v>#N/A</v>
      </c>
      <c r="G185" s="2">
        <f t="shared" si="7"/>
        <v>95000</v>
      </c>
      <c r="H185">
        <v>21</v>
      </c>
      <c r="I185">
        <v>24</v>
      </c>
      <c r="J185" s="3" t="str">
        <f>VLOOKUP(I185,User!A:D,4,0)</f>
        <v>박은정</v>
      </c>
      <c r="K185">
        <v>5</v>
      </c>
      <c r="L185">
        <v>4</v>
      </c>
      <c r="M185">
        <v>6</v>
      </c>
      <c r="N185">
        <v>0</v>
      </c>
      <c r="Q185" s="5" t="e">
        <f>VLOOKUP(A185,SaleList!E:G,3,0)</f>
        <v>#N/A</v>
      </c>
      <c r="R185" s="5" t="e">
        <f>VLOOKUP(A185,SaleList!E:H,4,0)</f>
        <v>#N/A</v>
      </c>
      <c r="S185" s="2" t="e">
        <f t="shared" si="8"/>
        <v>#N/A</v>
      </c>
    </row>
    <row r="186" spans="1:19">
      <c r="A186">
        <v>185</v>
      </c>
      <c r="B186" t="s">
        <v>335</v>
      </c>
      <c r="C186">
        <v>100000</v>
      </c>
      <c r="D186" s="2" t="e">
        <f>VLOOKUP(A186,SaleList!E:E,1,0)</f>
        <v>#N/A</v>
      </c>
      <c r="E186" s="2" t="e">
        <f>VLOOKUP(A186,SaleList!E:F,2,0)</f>
        <v>#N/A</v>
      </c>
      <c r="F186" s="2" t="e">
        <f t="shared" si="6"/>
        <v>#N/A</v>
      </c>
      <c r="G186" s="2">
        <f t="shared" si="7"/>
        <v>100000</v>
      </c>
      <c r="H186">
        <v>22</v>
      </c>
      <c r="I186">
        <v>19</v>
      </c>
      <c r="J186" s="3" t="str">
        <f>VLOOKUP(I186,User!A:D,4,0)</f>
        <v>박정수</v>
      </c>
      <c r="K186">
        <v>7</v>
      </c>
      <c r="L186">
        <v>9</v>
      </c>
      <c r="M186">
        <v>5</v>
      </c>
      <c r="N186">
        <v>0</v>
      </c>
      <c r="Q186" s="5" t="e">
        <f>VLOOKUP(A186,SaleList!E:G,3,0)</f>
        <v>#N/A</v>
      </c>
      <c r="R186" s="5" t="e">
        <f>VLOOKUP(A186,SaleList!E:H,4,0)</f>
        <v>#N/A</v>
      </c>
      <c r="S186" s="2" t="e">
        <f t="shared" si="8"/>
        <v>#N/A</v>
      </c>
    </row>
    <row r="187" spans="1:19">
      <c r="A187">
        <v>186</v>
      </c>
      <c r="B187" t="s">
        <v>336</v>
      </c>
      <c r="C187">
        <v>20000</v>
      </c>
      <c r="D187" s="2" t="e">
        <f>VLOOKUP(A187,SaleList!E:E,1,0)</f>
        <v>#N/A</v>
      </c>
      <c r="E187" s="2" t="e">
        <f>VLOOKUP(A187,SaleList!E:F,2,0)</f>
        <v>#N/A</v>
      </c>
      <c r="F187" s="2" t="e">
        <f t="shared" si="6"/>
        <v>#N/A</v>
      </c>
      <c r="G187" s="2">
        <f t="shared" si="7"/>
        <v>20000</v>
      </c>
      <c r="H187">
        <v>22</v>
      </c>
      <c r="I187">
        <v>10</v>
      </c>
      <c r="J187" s="3" t="str">
        <f>VLOOKUP(I187,User!A:D,4,0)</f>
        <v>김지연</v>
      </c>
      <c r="K187">
        <v>8</v>
      </c>
      <c r="L187">
        <v>2</v>
      </c>
      <c r="M187">
        <v>5</v>
      </c>
      <c r="N187">
        <v>10</v>
      </c>
      <c r="Q187" s="5" t="e">
        <f>VLOOKUP(A187,SaleList!E:G,3,0)</f>
        <v>#N/A</v>
      </c>
      <c r="R187" s="5" t="e">
        <f>VLOOKUP(A187,SaleList!E:H,4,0)</f>
        <v>#N/A</v>
      </c>
      <c r="S187" s="2" t="e">
        <f t="shared" si="8"/>
        <v>#N/A</v>
      </c>
    </row>
    <row r="188" spans="1:19">
      <c r="A188">
        <v>187</v>
      </c>
      <c r="B188" t="s">
        <v>337</v>
      </c>
      <c r="C188">
        <v>80000</v>
      </c>
      <c r="D188" s="2" t="e">
        <f>VLOOKUP(A188,SaleList!E:E,1,0)</f>
        <v>#N/A</v>
      </c>
      <c r="E188" s="2" t="e">
        <f>VLOOKUP(A188,SaleList!E:F,2,0)</f>
        <v>#N/A</v>
      </c>
      <c r="F188" s="2" t="e">
        <f t="shared" si="6"/>
        <v>#N/A</v>
      </c>
      <c r="G188" s="2">
        <f t="shared" si="7"/>
        <v>80000</v>
      </c>
      <c r="H188">
        <v>22</v>
      </c>
      <c r="I188">
        <v>29</v>
      </c>
      <c r="J188" s="3" t="str">
        <f>VLOOKUP(I188,User!A:D,4,0)</f>
        <v>문민지</v>
      </c>
      <c r="K188">
        <v>8</v>
      </c>
      <c r="L188">
        <v>0</v>
      </c>
      <c r="M188">
        <v>9</v>
      </c>
      <c r="N188">
        <v>0</v>
      </c>
      <c r="Q188" s="5" t="e">
        <f>VLOOKUP(A188,SaleList!E:G,3,0)</f>
        <v>#N/A</v>
      </c>
      <c r="R188" s="5" t="e">
        <f>VLOOKUP(A188,SaleList!E:H,4,0)</f>
        <v>#N/A</v>
      </c>
      <c r="S188" s="2" t="e">
        <f t="shared" si="8"/>
        <v>#N/A</v>
      </c>
    </row>
    <row r="189" spans="1:19">
      <c r="A189">
        <v>188</v>
      </c>
      <c r="B189" t="s">
        <v>338</v>
      </c>
      <c r="C189">
        <v>20000</v>
      </c>
      <c r="D189" s="2" t="e">
        <f>VLOOKUP(A189,SaleList!E:E,1,0)</f>
        <v>#N/A</v>
      </c>
      <c r="E189" s="2" t="e">
        <f>VLOOKUP(A189,SaleList!E:F,2,0)</f>
        <v>#N/A</v>
      </c>
      <c r="F189" s="2" t="e">
        <f t="shared" si="6"/>
        <v>#N/A</v>
      </c>
      <c r="G189" s="2">
        <f t="shared" si="7"/>
        <v>20000</v>
      </c>
      <c r="H189">
        <v>22</v>
      </c>
      <c r="I189">
        <v>30</v>
      </c>
      <c r="J189" s="3" t="str">
        <f>VLOOKUP(I189,User!A:D,4,0)</f>
        <v>박성민</v>
      </c>
      <c r="K189">
        <v>9</v>
      </c>
      <c r="L189">
        <v>8</v>
      </c>
      <c r="M189">
        <v>4</v>
      </c>
      <c r="N189">
        <v>10</v>
      </c>
      <c r="Q189" s="5" t="e">
        <f>VLOOKUP(A189,SaleList!E:G,3,0)</f>
        <v>#N/A</v>
      </c>
      <c r="R189" s="5" t="e">
        <f>VLOOKUP(A189,SaleList!E:H,4,0)</f>
        <v>#N/A</v>
      </c>
      <c r="S189" s="2" t="e">
        <f t="shared" si="8"/>
        <v>#N/A</v>
      </c>
    </row>
    <row r="190" spans="1:19">
      <c r="A190">
        <v>189</v>
      </c>
      <c r="B190" t="s">
        <v>339</v>
      </c>
      <c r="C190">
        <v>25000</v>
      </c>
      <c r="D190" s="2" t="e">
        <f>VLOOKUP(A190,SaleList!E:E,1,0)</f>
        <v>#N/A</v>
      </c>
      <c r="E190" s="2" t="e">
        <f>VLOOKUP(A190,SaleList!E:F,2,0)</f>
        <v>#N/A</v>
      </c>
      <c r="F190" s="2" t="e">
        <f t="shared" si="6"/>
        <v>#N/A</v>
      </c>
      <c r="G190" s="2">
        <f t="shared" si="7"/>
        <v>25000</v>
      </c>
      <c r="H190">
        <v>23</v>
      </c>
      <c r="I190">
        <v>3</v>
      </c>
      <c r="J190" s="3" t="str">
        <f>VLOOKUP(I190,User!A:D,4,0)</f>
        <v>강수빈</v>
      </c>
      <c r="K190">
        <v>2</v>
      </c>
      <c r="L190">
        <v>2</v>
      </c>
      <c r="M190">
        <v>6</v>
      </c>
      <c r="N190">
        <v>7</v>
      </c>
      <c r="Q190" s="5" t="e">
        <f>VLOOKUP(A190,SaleList!E:G,3,0)</f>
        <v>#N/A</v>
      </c>
      <c r="R190" s="5" t="e">
        <f>VLOOKUP(A190,SaleList!E:H,4,0)</f>
        <v>#N/A</v>
      </c>
      <c r="S190" s="2" t="e">
        <f t="shared" si="8"/>
        <v>#N/A</v>
      </c>
    </row>
    <row r="191" spans="1:19">
      <c r="A191">
        <v>190</v>
      </c>
      <c r="B191" t="s">
        <v>340</v>
      </c>
      <c r="C191">
        <v>90000</v>
      </c>
      <c r="D191" s="2" t="e">
        <f>VLOOKUP(A191,SaleList!E:E,1,0)</f>
        <v>#N/A</v>
      </c>
      <c r="E191" s="2" t="e">
        <f>VLOOKUP(A191,SaleList!E:F,2,0)</f>
        <v>#N/A</v>
      </c>
      <c r="F191" s="2" t="e">
        <f t="shared" si="6"/>
        <v>#N/A</v>
      </c>
      <c r="G191" s="2">
        <f t="shared" si="7"/>
        <v>90000</v>
      </c>
      <c r="H191">
        <v>23</v>
      </c>
      <c r="I191">
        <v>27</v>
      </c>
      <c r="J191" s="3" t="str">
        <f>VLOOKUP(I191,User!A:D,4,0)</f>
        <v>김정희</v>
      </c>
      <c r="K191">
        <v>8</v>
      </c>
      <c r="L191">
        <v>7</v>
      </c>
      <c r="M191">
        <v>5</v>
      </c>
      <c r="N191">
        <v>6</v>
      </c>
      <c r="Q191" s="5" t="e">
        <f>VLOOKUP(A191,SaleList!E:G,3,0)</f>
        <v>#N/A</v>
      </c>
      <c r="R191" s="5" t="e">
        <f>VLOOKUP(A191,SaleList!E:H,4,0)</f>
        <v>#N/A</v>
      </c>
      <c r="S191" s="2" t="e">
        <f t="shared" si="8"/>
        <v>#N/A</v>
      </c>
    </row>
    <row r="192" spans="1:19">
      <c r="A192">
        <v>191</v>
      </c>
      <c r="B192" t="s">
        <v>341</v>
      </c>
      <c r="C192">
        <v>65000</v>
      </c>
      <c r="D192" s="2" t="e">
        <f>VLOOKUP(A192,SaleList!E:E,1,0)</f>
        <v>#N/A</v>
      </c>
      <c r="E192" s="2" t="e">
        <f>VLOOKUP(A192,SaleList!E:F,2,0)</f>
        <v>#N/A</v>
      </c>
      <c r="F192" s="2" t="e">
        <f t="shared" si="6"/>
        <v>#N/A</v>
      </c>
      <c r="G192" s="2">
        <f t="shared" si="7"/>
        <v>65000</v>
      </c>
      <c r="H192">
        <v>23</v>
      </c>
      <c r="I192">
        <v>27</v>
      </c>
      <c r="J192" s="3" t="str">
        <f>VLOOKUP(I192,User!A:D,4,0)</f>
        <v>김정희</v>
      </c>
      <c r="K192">
        <v>6</v>
      </c>
      <c r="L192">
        <v>8</v>
      </c>
      <c r="M192">
        <v>1</v>
      </c>
      <c r="N192">
        <v>3</v>
      </c>
      <c r="Q192" s="5" t="e">
        <f>VLOOKUP(A192,SaleList!E:G,3,0)</f>
        <v>#N/A</v>
      </c>
      <c r="R192" s="5" t="e">
        <f>VLOOKUP(A192,SaleList!E:H,4,0)</f>
        <v>#N/A</v>
      </c>
      <c r="S192" s="2" t="e">
        <f t="shared" si="8"/>
        <v>#N/A</v>
      </c>
    </row>
    <row r="193" spans="1:19">
      <c r="A193">
        <v>192</v>
      </c>
      <c r="B193" t="s">
        <v>342</v>
      </c>
      <c r="C193">
        <v>15000</v>
      </c>
      <c r="D193" s="2" t="e">
        <f>VLOOKUP(A193,SaleList!E:E,1,0)</f>
        <v>#N/A</v>
      </c>
      <c r="E193" s="2" t="e">
        <f>VLOOKUP(A193,SaleList!E:F,2,0)</f>
        <v>#N/A</v>
      </c>
      <c r="F193" s="2" t="e">
        <f t="shared" si="6"/>
        <v>#N/A</v>
      </c>
      <c r="G193" s="2">
        <f t="shared" si="7"/>
        <v>15000</v>
      </c>
      <c r="H193">
        <v>23</v>
      </c>
      <c r="I193">
        <v>29</v>
      </c>
      <c r="J193" s="3" t="str">
        <f>VLOOKUP(I193,User!A:D,4,0)</f>
        <v>문민지</v>
      </c>
      <c r="K193">
        <v>6</v>
      </c>
      <c r="L193">
        <v>4</v>
      </c>
      <c r="M193">
        <v>3</v>
      </c>
      <c r="N193">
        <v>5</v>
      </c>
      <c r="Q193" s="5" t="e">
        <f>VLOOKUP(A193,SaleList!E:G,3,0)</f>
        <v>#N/A</v>
      </c>
      <c r="R193" s="5" t="e">
        <f>VLOOKUP(A193,SaleList!E:H,4,0)</f>
        <v>#N/A</v>
      </c>
      <c r="S193" s="2" t="e">
        <f t="shared" si="8"/>
        <v>#N/A</v>
      </c>
    </row>
    <row r="194" spans="1:19">
      <c r="A194">
        <v>193</v>
      </c>
      <c r="B194" t="s">
        <v>343</v>
      </c>
      <c r="C194">
        <v>15000</v>
      </c>
      <c r="D194" s="2" t="e">
        <f>VLOOKUP(A194,SaleList!E:E,1,0)</f>
        <v>#N/A</v>
      </c>
      <c r="E194" s="2" t="e">
        <f>VLOOKUP(A194,SaleList!E:F,2,0)</f>
        <v>#N/A</v>
      </c>
      <c r="F194" s="2" t="e">
        <f t="shared" si="6"/>
        <v>#N/A</v>
      </c>
      <c r="G194" s="2">
        <f t="shared" si="7"/>
        <v>15000</v>
      </c>
      <c r="H194">
        <v>24</v>
      </c>
      <c r="I194">
        <v>11</v>
      </c>
      <c r="J194" s="3" t="str">
        <f>VLOOKUP(I194,User!A:D,4,0)</f>
        <v>고우진</v>
      </c>
      <c r="K194">
        <v>9</v>
      </c>
      <c r="L194">
        <v>4</v>
      </c>
      <c r="M194">
        <v>3</v>
      </c>
      <c r="N194">
        <v>4</v>
      </c>
      <c r="Q194" s="5" t="e">
        <f>VLOOKUP(A194,SaleList!E:G,3,0)</f>
        <v>#N/A</v>
      </c>
      <c r="R194" s="5" t="e">
        <f>VLOOKUP(A194,SaleList!E:H,4,0)</f>
        <v>#N/A</v>
      </c>
      <c r="S194" s="2" t="e">
        <f t="shared" si="8"/>
        <v>#N/A</v>
      </c>
    </row>
    <row r="195" spans="1:19">
      <c r="A195">
        <v>194</v>
      </c>
      <c r="B195" t="s">
        <v>344</v>
      </c>
      <c r="C195">
        <v>95000</v>
      </c>
      <c r="D195" s="2" t="e">
        <f>VLOOKUP(A195,SaleList!E:E,1,0)</f>
        <v>#N/A</v>
      </c>
      <c r="E195" s="2" t="e">
        <f>VLOOKUP(A195,SaleList!E:F,2,0)</f>
        <v>#N/A</v>
      </c>
      <c r="F195" s="2" t="e">
        <f t="shared" ref="F195:F201" si="9">C195*((100-E195)/100)</f>
        <v>#N/A</v>
      </c>
      <c r="G195" s="2">
        <f t="shared" ref="G195:G201" si="10">_xlfn.IFNA(F195,C195)</f>
        <v>95000</v>
      </c>
      <c r="H195">
        <v>24</v>
      </c>
      <c r="I195">
        <v>17</v>
      </c>
      <c r="J195" s="3" t="str">
        <f>VLOOKUP(I195,User!A:D,4,0)</f>
        <v>김준서</v>
      </c>
      <c r="K195">
        <v>1</v>
      </c>
      <c r="L195">
        <v>1</v>
      </c>
      <c r="M195">
        <v>10</v>
      </c>
      <c r="N195">
        <v>3</v>
      </c>
      <c r="Q195" s="5" t="e">
        <f>VLOOKUP(A195,SaleList!E:G,3,0)</f>
        <v>#N/A</v>
      </c>
      <c r="R195" s="5" t="e">
        <f>VLOOKUP(A195,SaleList!E:H,4,0)</f>
        <v>#N/A</v>
      </c>
      <c r="S195" s="2" t="e">
        <f t="shared" si="8"/>
        <v>#N/A</v>
      </c>
    </row>
    <row r="196" spans="1:19">
      <c r="A196">
        <v>195</v>
      </c>
      <c r="B196" t="s">
        <v>345</v>
      </c>
      <c r="C196">
        <v>90000</v>
      </c>
      <c r="D196" s="2" t="e">
        <f>VLOOKUP(A196,SaleList!E:E,1,0)</f>
        <v>#N/A</v>
      </c>
      <c r="E196" s="2" t="e">
        <f>VLOOKUP(A196,SaleList!E:F,2,0)</f>
        <v>#N/A</v>
      </c>
      <c r="F196" s="2" t="e">
        <f t="shared" si="9"/>
        <v>#N/A</v>
      </c>
      <c r="G196" s="2">
        <f t="shared" si="10"/>
        <v>90000</v>
      </c>
      <c r="H196">
        <v>24</v>
      </c>
      <c r="I196">
        <v>29</v>
      </c>
      <c r="J196" s="3" t="str">
        <f>VLOOKUP(I196,User!A:D,4,0)</f>
        <v>문민지</v>
      </c>
      <c r="K196">
        <v>6</v>
      </c>
      <c r="L196">
        <v>7</v>
      </c>
      <c r="M196">
        <v>8</v>
      </c>
      <c r="N196">
        <v>4</v>
      </c>
      <c r="Q196" s="5" t="e">
        <f>VLOOKUP(A196,SaleList!E:G,3,0)</f>
        <v>#N/A</v>
      </c>
      <c r="R196" s="5" t="e">
        <f>VLOOKUP(A196,SaleList!E:H,4,0)</f>
        <v>#N/A</v>
      </c>
      <c r="S196" s="2" t="e">
        <f t="shared" ref="S196:S201" si="11">IF(AND(Q196&lt;=DATE(2025,4,2), R196&gt;=DATE(2025,4,2)), 1, 0)</f>
        <v>#N/A</v>
      </c>
    </row>
    <row r="197" spans="1:19">
      <c r="A197">
        <v>196</v>
      </c>
      <c r="B197" t="s">
        <v>346</v>
      </c>
      <c r="C197">
        <v>80000</v>
      </c>
      <c r="D197" s="2" t="e">
        <f>VLOOKUP(A197,SaleList!E:E,1,0)</f>
        <v>#N/A</v>
      </c>
      <c r="E197" s="2" t="e">
        <f>VLOOKUP(A197,SaleList!E:F,2,0)</f>
        <v>#N/A</v>
      </c>
      <c r="F197" s="2" t="e">
        <f t="shared" si="9"/>
        <v>#N/A</v>
      </c>
      <c r="G197" s="2">
        <f t="shared" si="10"/>
        <v>80000</v>
      </c>
      <c r="H197">
        <v>24</v>
      </c>
      <c r="I197">
        <v>1</v>
      </c>
      <c r="J197" s="3" t="str">
        <f>VLOOKUP(I197,User!A:D,4,0)</f>
        <v>손준서</v>
      </c>
      <c r="K197">
        <v>8</v>
      </c>
      <c r="L197">
        <v>6</v>
      </c>
      <c r="M197">
        <v>9</v>
      </c>
      <c r="N197">
        <v>5</v>
      </c>
      <c r="Q197" s="5" t="e">
        <f>VLOOKUP(A197,SaleList!E:G,3,0)</f>
        <v>#N/A</v>
      </c>
      <c r="R197" s="5" t="e">
        <f>VLOOKUP(A197,SaleList!E:H,4,0)</f>
        <v>#N/A</v>
      </c>
      <c r="S197" s="2" t="e">
        <f t="shared" si="11"/>
        <v>#N/A</v>
      </c>
    </row>
    <row r="198" spans="1:19">
      <c r="A198">
        <v>197</v>
      </c>
      <c r="B198" t="s">
        <v>347</v>
      </c>
      <c r="C198">
        <v>55000</v>
      </c>
      <c r="D198" s="2" t="e">
        <f>VLOOKUP(A198,SaleList!E:E,1,0)</f>
        <v>#N/A</v>
      </c>
      <c r="E198" s="2" t="e">
        <f>VLOOKUP(A198,SaleList!E:F,2,0)</f>
        <v>#N/A</v>
      </c>
      <c r="F198" s="2" t="e">
        <f t="shared" si="9"/>
        <v>#N/A</v>
      </c>
      <c r="G198" s="2">
        <f t="shared" si="10"/>
        <v>55000</v>
      </c>
      <c r="H198">
        <v>25</v>
      </c>
      <c r="I198">
        <v>1</v>
      </c>
      <c r="J198" s="3" t="str">
        <f>VLOOKUP(I198,User!A:D,4,0)</f>
        <v>손준서</v>
      </c>
      <c r="K198">
        <v>8</v>
      </c>
      <c r="L198">
        <v>9</v>
      </c>
      <c r="M198">
        <v>5</v>
      </c>
      <c r="N198">
        <v>10</v>
      </c>
      <c r="Q198" s="5" t="e">
        <f>VLOOKUP(A198,SaleList!E:G,3,0)</f>
        <v>#N/A</v>
      </c>
      <c r="R198" s="5" t="e">
        <f>VLOOKUP(A198,SaleList!E:H,4,0)</f>
        <v>#N/A</v>
      </c>
      <c r="S198" s="2" t="e">
        <f t="shared" si="11"/>
        <v>#N/A</v>
      </c>
    </row>
    <row r="199" spans="1:19">
      <c r="A199">
        <v>198</v>
      </c>
      <c r="B199" t="s">
        <v>348</v>
      </c>
      <c r="C199">
        <v>85000</v>
      </c>
      <c r="D199" s="2" t="e">
        <f>VLOOKUP(A199,SaleList!E:E,1,0)</f>
        <v>#N/A</v>
      </c>
      <c r="E199" s="2" t="e">
        <f>VLOOKUP(A199,SaleList!E:F,2,0)</f>
        <v>#N/A</v>
      </c>
      <c r="F199" s="2" t="e">
        <f t="shared" si="9"/>
        <v>#N/A</v>
      </c>
      <c r="G199" s="2">
        <f t="shared" si="10"/>
        <v>85000</v>
      </c>
      <c r="H199">
        <v>25</v>
      </c>
      <c r="I199">
        <v>30</v>
      </c>
      <c r="J199" s="3" t="str">
        <f>VLOOKUP(I199,User!A:D,4,0)</f>
        <v>박성민</v>
      </c>
      <c r="K199">
        <v>3</v>
      </c>
      <c r="L199">
        <v>4</v>
      </c>
      <c r="M199">
        <v>5</v>
      </c>
      <c r="N199">
        <v>1</v>
      </c>
      <c r="Q199" s="5" t="e">
        <f>VLOOKUP(A199,SaleList!E:G,3,0)</f>
        <v>#N/A</v>
      </c>
      <c r="R199" s="5" t="e">
        <f>VLOOKUP(A199,SaleList!E:H,4,0)</f>
        <v>#N/A</v>
      </c>
      <c r="S199" s="2" t="e">
        <f t="shared" si="11"/>
        <v>#N/A</v>
      </c>
    </row>
    <row r="200" spans="1:19">
      <c r="A200">
        <v>199</v>
      </c>
      <c r="B200" t="s">
        <v>349</v>
      </c>
      <c r="C200">
        <v>40000</v>
      </c>
      <c r="D200" s="2" t="e">
        <f>VLOOKUP(A200,SaleList!E:E,1,0)</f>
        <v>#N/A</v>
      </c>
      <c r="E200" s="2" t="e">
        <f>VLOOKUP(A200,SaleList!E:F,2,0)</f>
        <v>#N/A</v>
      </c>
      <c r="F200" s="2" t="e">
        <f t="shared" si="9"/>
        <v>#N/A</v>
      </c>
      <c r="G200" s="2">
        <f t="shared" si="10"/>
        <v>40000</v>
      </c>
      <c r="H200">
        <v>25</v>
      </c>
      <c r="I200">
        <v>5</v>
      </c>
      <c r="J200" s="3" t="str">
        <f>VLOOKUP(I200,User!A:D,4,0)</f>
        <v>박동현</v>
      </c>
      <c r="K200">
        <v>2</v>
      </c>
      <c r="L200">
        <v>1</v>
      </c>
      <c r="M200">
        <v>6</v>
      </c>
      <c r="N200">
        <v>3</v>
      </c>
      <c r="Q200" s="5" t="e">
        <f>VLOOKUP(A200,SaleList!E:G,3,0)</f>
        <v>#N/A</v>
      </c>
      <c r="R200" s="5" t="e">
        <f>VLOOKUP(A200,SaleList!E:H,4,0)</f>
        <v>#N/A</v>
      </c>
      <c r="S200" s="2" t="e">
        <f t="shared" si="11"/>
        <v>#N/A</v>
      </c>
    </row>
    <row r="201" spans="1:19">
      <c r="A201">
        <v>200</v>
      </c>
      <c r="B201" t="s">
        <v>350</v>
      </c>
      <c r="C201">
        <v>95000</v>
      </c>
      <c r="D201" s="2" t="e">
        <f>VLOOKUP(A201,SaleList!E:E,1,0)</f>
        <v>#N/A</v>
      </c>
      <c r="E201" s="2" t="e">
        <f>VLOOKUP(A201,SaleList!E:F,2,0)</f>
        <v>#N/A</v>
      </c>
      <c r="F201" s="2" t="e">
        <f t="shared" si="9"/>
        <v>#N/A</v>
      </c>
      <c r="G201" s="2">
        <f t="shared" si="10"/>
        <v>95000</v>
      </c>
      <c r="H201">
        <v>25</v>
      </c>
      <c r="I201">
        <v>27</v>
      </c>
      <c r="J201" s="3" t="str">
        <f>VLOOKUP(I201,User!A:D,4,0)</f>
        <v>김정희</v>
      </c>
      <c r="K201">
        <v>3</v>
      </c>
      <c r="L201">
        <v>5</v>
      </c>
      <c r="M201">
        <v>0</v>
      </c>
      <c r="N201">
        <v>6</v>
      </c>
      <c r="Q201" s="5" t="e">
        <f>VLOOKUP(A201,SaleList!E:G,3,0)</f>
        <v>#N/A</v>
      </c>
      <c r="R201" s="5" t="e">
        <f>VLOOKUP(A201,SaleList!E:H,4,0)</f>
        <v>#N/A</v>
      </c>
      <c r="S201" s="2" t="e">
        <f t="shared" si="11"/>
        <v>#N/A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workbookViewId="0">
      <selection activeCell="C2" sqref="C2"/>
    </sheetView>
  </sheetViews>
  <sheetFormatPr defaultRowHeight="14.5"/>
  <cols>
    <col min="2" max="2" width="10.81640625" bestFit="1" customWidth="1"/>
    <col min="4" max="7" width="9.1796875" style="2"/>
  </cols>
  <sheetData>
    <row r="1" spans="1:13">
      <c r="A1" t="s">
        <v>1</v>
      </c>
      <c r="B1" t="s">
        <v>146</v>
      </c>
      <c r="C1" t="s">
        <v>13</v>
      </c>
      <c r="D1" s="2" t="s">
        <v>357</v>
      </c>
      <c r="E1" s="2" t="s">
        <v>373</v>
      </c>
      <c r="F1" s="2" t="s">
        <v>372</v>
      </c>
      <c r="G1" s="2" t="s">
        <v>371</v>
      </c>
      <c r="H1" t="s">
        <v>16</v>
      </c>
      <c r="I1" s="2" t="s">
        <v>374</v>
      </c>
      <c r="J1" t="s">
        <v>147</v>
      </c>
      <c r="K1" t="s">
        <v>148</v>
      </c>
      <c r="L1" t="s">
        <v>149</v>
      </c>
      <c r="M1" t="s">
        <v>150</v>
      </c>
    </row>
    <row r="2" spans="1:13">
      <c r="A2">
        <v>1</v>
      </c>
      <c r="B2" s="1">
        <v>45338</v>
      </c>
      <c r="C2">
        <v>55</v>
      </c>
      <c r="D2" s="2" t="str">
        <f>VLOOKUP(C2,ProductList!A:B,2,0)</f>
        <v>스퀘어 토 메리제인 플랫슈즈</v>
      </c>
      <c r="E2" s="2">
        <f>VLOOKUP(C2,ProductList!A:C,3,0)</f>
        <v>75000</v>
      </c>
      <c r="F2" s="2">
        <f>VLOOKUP(C2,ProductList!A:G,7,0)</f>
        <v>75000</v>
      </c>
      <c r="G2" s="2">
        <f>SUM(J2:M2)*F2</f>
        <v>900000</v>
      </c>
      <c r="H2">
        <v>9</v>
      </c>
      <c r="I2" s="2" t="str">
        <f>VLOOKUP(H2,User!A:D,4,0)</f>
        <v>엄지혜</v>
      </c>
      <c r="J2">
        <v>3</v>
      </c>
      <c r="K2">
        <v>5</v>
      </c>
      <c r="L2">
        <v>4</v>
      </c>
      <c r="M2">
        <v>0</v>
      </c>
    </row>
    <row r="3" spans="1:13">
      <c r="A3">
        <v>2</v>
      </c>
      <c r="B3" s="1">
        <v>45494</v>
      </c>
      <c r="C3">
        <v>42</v>
      </c>
      <c r="D3" s="2" t="str">
        <f>VLOOKUP(C3,ProductList!A:B,2,0)</f>
        <v>SHOWER - 808</v>
      </c>
      <c r="E3" s="2">
        <f>VLOOKUP(C3,ProductList!A:C,3,0)</f>
        <v>60000</v>
      </c>
      <c r="F3" s="2">
        <f>VLOOKUP(C3,ProductList!A:G,7,0)</f>
        <v>48000</v>
      </c>
      <c r="G3" s="2">
        <f t="shared" ref="G3:G66" si="0">SUM(J3:M3)*F3</f>
        <v>384000</v>
      </c>
      <c r="H3">
        <v>1</v>
      </c>
      <c r="I3" s="2" t="str">
        <f>VLOOKUP(H3,User!A:D,4,0)</f>
        <v>손준서</v>
      </c>
      <c r="J3">
        <v>1</v>
      </c>
      <c r="K3">
        <v>3</v>
      </c>
      <c r="L3">
        <v>1</v>
      </c>
      <c r="M3">
        <v>3</v>
      </c>
    </row>
    <row r="4" spans="1:13">
      <c r="A4">
        <v>3</v>
      </c>
      <c r="B4" s="1">
        <v>45475</v>
      </c>
      <c r="C4">
        <v>33</v>
      </c>
      <c r="D4" s="2" t="str">
        <f>VLOOKUP(C4,ProductList!A:B,2,0)</f>
        <v>뉴비긴 트레이닝 조거팬츠_블랙 트레이닝</v>
      </c>
      <c r="E4" s="2">
        <f>VLOOKUP(C4,ProductList!A:C,3,0)</f>
        <v>80000</v>
      </c>
      <c r="F4" s="2">
        <f>VLOOKUP(C4,ProductList!A:G,7,0)</f>
        <v>48000</v>
      </c>
      <c r="G4" s="2">
        <f t="shared" si="0"/>
        <v>480000</v>
      </c>
      <c r="H4">
        <v>30</v>
      </c>
      <c r="I4" s="2" t="str">
        <f>VLOOKUP(H4,User!A:D,4,0)</f>
        <v>박성민</v>
      </c>
      <c r="J4">
        <v>5</v>
      </c>
      <c r="K4">
        <v>3</v>
      </c>
      <c r="L4">
        <v>0</v>
      </c>
      <c r="M4">
        <v>2</v>
      </c>
    </row>
    <row r="5" spans="1:13">
      <c r="A5">
        <v>4</v>
      </c>
      <c r="B5" s="1">
        <v>45348</v>
      </c>
      <c r="C5">
        <v>27</v>
      </c>
      <c r="D5" s="2" t="str">
        <f>VLOOKUP(C5,ProductList!A:B,2,0)</f>
        <v>Steady Balloon Snap Pants Black</v>
      </c>
      <c r="E5" s="2">
        <f>VLOOKUP(C5,ProductList!A:C,3,0)</f>
        <v>80000</v>
      </c>
      <c r="F5" s="2">
        <f>VLOOKUP(C5,ProductList!A:G,7,0)</f>
        <v>80000</v>
      </c>
      <c r="G5" s="2">
        <f t="shared" si="0"/>
        <v>720000</v>
      </c>
      <c r="H5">
        <v>26</v>
      </c>
      <c r="I5" s="2" t="str">
        <f>VLOOKUP(H5,User!A:D,4,0)</f>
        <v>김은지</v>
      </c>
      <c r="J5">
        <v>4</v>
      </c>
      <c r="K5">
        <v>2</v>
      </c>
      <c r="L5">
        <v>0</v>
      </c>
      <c r="M5">
        <v>3</v>
      </c>
    </row>
    <row r="6" spans="1:13">
      <c r="A6">
        <v>5</v>
      </c>
      <c r="B6" s="1">
        <v>45430</v>
      </c>
      <c r="C6">
        <v>50</v>
      </c>
      <c r="D6" s="2" t="str">
        <f>VLOOKUP(C6,ProductList!A:B,2,0)</f>
        <v>스틸레토 더블 리본장식 슬링백 412412002</v>
      </c>
      <c r="E6" s="2">
        <f>VLOOKUP(C6,ProductList!A:C,3,0)</f>
        <v>35000</v>
      </c>
      <c r="F6" s="2">
        <f>VLOOKUP(C6,ProductList!A:G,7,0)</f>
        <v>35000</v>
      </c>
      <c r="G6" s="2">
        <f t="shared" si="0"/>
        <v>455000</v>
      </c>
      <c r="H6">
        <v>24</v>
      </c>
      <c r="I6" s="2" t="str">
        <f>VLOOKUP(H6,User!A:D,4,0)</f>
        <v>박은정</v>
      </c>
      <c r="J6">
        <v>2</v>
      </c>
      <c r="K6">
        <v>1</v>
      </c>
      <c r="L6">
        <v>5</v>
      </c>
      <c r="M6">
        <v>5</v>
      </c>
    </row>
    <row r="7" spans="1:13">
      <c r="A7">
        <v>6</v>
      </c>
      <c r="B7" s="1">
        <v>45440</v>
      </c>
      <c r="C7">
        <v>30</v>
      </c>
      <c r="D7" s="2" t="str">
        <f>VLOOKUP(C7,ProductList!A:B,2,0)</f>
        <v>편애깅스-세미 부츠컷 CDTM24A02_7358</v>
      </c>
      <c r="E7" s="2">
        <f>VLOOKUP(C7,ProductList!A:C,3,0)</f>
        <v>30000</v>
      </c>
      <c r="F7" s="2">
        <f>VLOOKUP(C7,ProductList!A:G,7,0)</f>
        <v>30000</v>
      </c>
      <c r="G7" s="2">
        <f t="shared" si="0"/>
        <v>240000</v>
      </c>
      <c r="H7">
        <v>7</v>
      </c>
      <c r="I7" s="2" t="str">
        <f>VLOOKUP(H7,User!A:D,4,0)</f>
        <v>박영호</v>
      </c>
      <c r="J7">
        <v>1</v>
      </c>
      <c r="K7">
        <v>1</v>
      </c>
      <c r="L7">
        <v>2</v>
      </c>
      <c r="M7">
        <v>4</v>
      </c>
    </row>
    <row r="8" spans="1:13">
      <c r="A8">
        <v>7</v>
      </c>
      <c r="B8" s="1">
        <v>45358</v>
      </c>
      <c r="C8">
        <v>14</v>
      </c>
      <c r="D8" s="2" t="str">
        <f>VLOOKUP(C8,ProductList!A:B,2,0)</f>
        <v>입으면 바로 힙스터 LS 티셔츠 [블랙]</v>
      </c>
      <c r="E8" s="2">
        <f>VLOOKUP(C8,ProductList!A:C,3,0)</f>
        <v>75000</v>
      </c>
      <c r="F8" s="2">
        <f>VLOOKUP(C8,ProductList!A:G,7,0)</f>
        <v>75000</v>
      </c>
      <c r="G8" s="2">
        <f t="shared" si="0"/>
        <v>750000</v>
      </c>
      <c r="H8">
        <v>21</v>
      </c>
      <c r="I8" s="2" t="str">
        <f>VLOOKUP(H8,User!A:D,4,0)</f>
        <v>김현정</v>
      </c>
      <c r="J8">
        <v>5</v>
      </c>
      <c r="K8">
        <v>2</v>
      </c>
      <c r="L8">
        <v>0</v>
      </c>
      <c r="M8">
        <v>3</v>
      </c>
    </row>
    <row r="9" spans="1:13">
      <c r="A9">
        <v>8</v>
      </c>
      <c r="B9" s="1">
        <v>45520</v>
      </c>
      <c r="C9">
        <v>62</v>
      </c>
      <c r="D9" s="2" t="str">
        <f>VLOOKUP(C9,ProductList!A:B,2,0)</f>
        <v>루즈핏 2-WAY 후드집업</v>
      </c>
      <c r="E9" s="2">
        <f>VLOOKUP(C9,ProductList!A:C,3,0)</f>
        <v>95000</v>
      </c>
      <c r="F9" s="2">
        <f>VLOOKUP(C9,ProductList!A:G,7,0)</f>
        <v>95000</v>
      </c>
      <c r="G9" s="2">
        <f t="shared" si="0"/>
        <v>95000</v>
      </c>
      <c r="H9">
        <v>2</v>
      </c>
      <c r="I9" s="2" t="str">
        <f>VLOOKUP(H9,User!A:D,4,0)</f>
        <v>이예은</v>
      </c>
      <c r="J9">
        <v>0</v>
      </c>
      <c r="K9">
        <v>0</v>
      </c>
      <c r="L9">
        <v>1</v>
      </c>
      <c r="M9">
        <v>0</v>
      </c>
    </row>
    <row r="10" spans="1:13">
      <c r="A10">
        <v>9</v>
      </c>
      <c r="B10" s="1">
        <v>45613</v>
      </c>
      <c r="C10">
        <v>9</v>
      </c>
      <c r="D10" s="2" t="str">
        <f>VLOOKUP(C10,ProductList!A:B,2,0)</f>
        <v>에센셜 후드 스웻 셔츠 (MELANGE GREY)</v>
      </c>
      <c r="E10" s="2">
        <f>VLOOKUP(C10,ProductList!A:C,3,0)</f>
        <v>40000</v>
      </c>
      <c r="F10" s="2">
        <f>VLOOKUP(C10,ProductList!A:G,7,0)</f>
        <v>40000</v>
      </c>
      <c r="G10" s="2">
        <f t="shared" si="0"/>
        <v>160000</v>
      </c>
      <c r="H10">
        <v>8</v>
      </c>
      <c r="I10" s="2" t="str">
        <f>VLOOKUP(H10,User!A:D,4,0)</f>
        <v>이수민</v>
      </c>
      <c r="J10">
        <v>1</v>
      </c>
      <c r="K10">
        <v>3</v>
      </c>
      <c r="L10">
        <v>0</v>
      </c>
      <c r="M10">
        <v>0</v>
      </c>
    </row>
    <row r="11" spans="1:13">
      <c r="A11">
        <v>10</v>
      </c>
      <c r="B11" s="1">
        <v>45532</v>
      </c>
      <c r="C11">
        <v>73</v>
      </c>
      <c r="D11" s="2" t="str">
        <f>VLOOKUP(C11,ProductList!A:B,2,0)</f>
        <v>데미지 워싱 데님 트러커 자켓 연청</v>
      </c>
      <c r="E11" s="2">
        <f>VLOOKUP(C11,ProductList!A:C,3,0)</f>
        <v>95000</v>
      </c>
      <c r="F11" s="2">
        <f>VLOOKUP(C11,ProductList!A:G,7,0)</f>
        <v>95000</v>
      </c>
      <c r="G11" s="2">
        <f t="shared" si="0"/>
        <v>1045000</v>
      </c>
      <c r="H11">
        <v>19</v>
      </c>
      <c r="I11" s="2" t="str">
        <f>VLOOKUP(H11,User!A:D,4,0)</f>
        <v>박정수</v>
      </c>
      <c r="J11">
        <v>4</v>
      </c>
      <c r="K11">
        <v>1</v>
      </c>
      <c r="L11">
        <v>5</v>
      </c>
      <c r="M11">
        <v>1</v>
      </c>
    </row>
    <row r="12" spans="1:13">
      <c r="A12">
        <v>11</v>
      </c>
      <c r="B12" s="1">
        <v>45532</v>
      </c>
      <c r="C12">
        <v>49</v>
      </c>
      <c r="D12" s="2" t="str">
        <f>VLOOKUP(C12,ProductList!A:B,2,0)</f>
        <v>BRYN VELCRO SNEAKERS - 3color</v>
      </c>
      <c r="E12" s="2">
        <f>VLOOKUP(C12,ProductList!A:C,3,0)</f>
        <v>10000</v>
      </c>
      <c r="F12" s="2">
        <f>VLOOKUP(C12,ProductList!A:G,7,0)</f>
        <v>10000</v>
      </c>
      <c r="G12" s="2">
        <f t="shared" si="0"/>
        <v>110000</v>
      </c>
      <c r="H12">
        <v>11</v>
      </c>
      <c r="I12" s="2" t="str">
        <f>VLOOKUP(H12,User!A:D,4,0)</f>
        <v>고우진</v>
      </c>
      <c r="J12">
        <v>5</v>
      </c>
      <c r="K12">
        <v>1</v>
      </c>
      <c r="L12">
        <v>4</v>
      </c>
      <c r="M12">
        <v>1</v>
      </c>
    </row>
    <row r="13" spans="1:13">
      <c r="A13">
        <v>12</v>
      </c>
      <c r="B13" s="1">
        <v>45561</v>
      </c>
      <c r="C13">
        <v>7</v>
      </c>
      <c r="D13" s="2" t="str">
        <f>VLOOKUP(C13,ProductList!A:B,2,0)</f>
        <v>시티 빅오버 워크 맨투맨_Black</v>
      </c>
      <c r="E13" s="2">
        <f>VLOOKUP(C13,ProductList!A:C,3,0)</f>
        <v>70000</v>
      </c>
      <c r="F13" s="2">
        <f>VLOOKUP(C13,ProductList!A:G,7,0)</f>
        <v>52500</v>
      </c>
      <c r="G13" s="2">
        <f t="shared" si="0"/>
        <v>787500</v>
      </c>
      <c r="H13">
        <v>25</v>
      </c>
      <c r="I13" s="2" t="str">
        <f>VLOOKUP(H13,User!A:D,4,0)</f>
        <v>김영미</v>
      </c>
      <c r="J13">
        <v>5</v>
      </c>
      <c r="K13">
        <v>4</v>
      </c>
      <c r="L13">
        <v>3</v>
      </c>
      <c r="M13">
        <v>3</v>
      </c>
    </row>
    <row r="14" spans="1:13">
      <c r="A14">
        <v>13</v>
      </c>
      <c r="B14" s="1">
        <v>45319</v>
      </c>
      <c r="C14">
        <v>46</v>
      </c>
      <c r="D14" s="2" t="str">
        <f>VLOOKUP(C14,ProductList!A:B,2,0)</f>
        <v>10008 BK HORSE LOAFERS</v>
      </c>
      <c r="E14" s="2">
        <f>VLOOKUP(C14,ProductList!A:C,3,0)</f>
        <v>25000</v>
      </c>
      <c r="F14" s="2">
        <f>VLOOKUP(C14,ProductList!A:G,7,0)</f>
        <v>25000</v>
      </c>
      <c r="G14" s="2">
        <f t="shared" si="0"/>
        <v>350000</v>
      </c>
      <c r="H14">
        <v>1</v>
      </c>
      <c r="I14" s="2" t="str">
        <f>VLOOKUP(H14,User!A:D,4,0)</f>
        <v>손준서</v>
      </c>
      <c r="J14">
        <v>3</v>
      </c>
      <c r="K14">
        <v>3</v>
      </c>
      <c r="L14">
        <v>4</v>
      </c>
      <c r="M14">
        <v>4</v>
      </c>
    </row>
    <row r="15" spans="1:13">
      <c r="A15">
        <v>14</v>
      </c>
      <c r="B15" s="1">
        <v>45476</v>
      </c>
      <c r="C15">
        <v>69</v>
      </c>
      <c r="D15" s="2" t="str">
        <f>VLOOKUP(C15,ProductList!A:B,2,0)</f>
        <v>PLMT 아트피셜 자켓(블랙)</v>
      </c>
      <c r="E15" s="2">
        <f>VLOOKUP(C15,ProductList!A:C,3,0)</f>
        <v>60000</v>
      </c>
      <c r="F15" s="2">
        <f>VLOOKUP(C15,ProductList!A:G,7,0)</f>
        <v>57000</v>
      </c>
      <c r="G15" s="2">
        <f t="shared" si="0"/>
        <v>570000</v>
      </c>
      <c r="H15">
        <v>19</v>
      </c>
      <c r="I15" s="2" t="str">
        <f>VLOOKUP(H15,User!A:D,4,0)</f>
        <v>박정수</v>
      </c>
      <c r="J15">
        <v>1</v>
      </c>
      <c r="K15">
        <v>3</v>
      </c>
      <c r="L15">
        <v>3</v>
      </c>
      <c r="M15">
        <v>3</v>
      </c>
    </row>
    <row r="16" spans="1:13">
      <c r="A16">
        <v>15</v>
      </c>
      <c r="B16" s="1">
        <v>45642</v>
      </c>
      <c r="C16">
        <v>16</v>
      </c>
      <c r="D16" s="2" t="str">
        <f>VLOOKUP(C16,ProductList!A:B,2,0)</f>
        <v>리즌 트레일 피그먼트 롱 슬리브 크림</v>
      </c>
      <c r="E16" s="2">
        <f>VLOOKUP(C16,ProductList!A:C,3,0)</f>
        <v>65000</v>
      </c>
      <c r="F16" s="2">
        <f>VLOOKUP(C16,ProductList!A:G,7,0)</f>
        <v>65000</v>
      </c>
      <c r="G16" s="2">
        <f t="shared" si="0"/>
        <v>845000</v>
      </c>
      <c r="H16">
        <v>3</v>
      </c>
      <c r="I16" s="2" t="str">
        <f>VLOOKUP(H16,User!A:D,4,0)</f>
        <v>강수빈</v>
      </c>
      <c r="J16">
        <v>3</v>
      </c>
      <c r="K16">
        <v>0</v>
      </c>
      <c r="L16">
        <v>5</v>
      </c>
      <c r="M16">
        <v>5</v>
      </c>
    </row>
    <row r="17" spans="1:13">
      <c r="A17">
        <v>16</v>
      </c>
      <c r="B17" s="1">
        <v>45549</v>
      </c>
      <c r="C17">
        <v>39</v>
      </c>
      <c r="D17" s="2" t="str">
        <f>VLOOKUP(C17,ProductList!A:B,2,0)</f>
        <v>클래식 테이퍼드 와이드 원턱 린넨 팬츠_9Color</v>
      </c>
      <c r="E17" s="2">
        <f>VLOOKUP(C17,ProductList!A:C,3,0)</f>
        <v>90000</v>
      </c>
      <c r="F17" s="2">
        <f>VLOOKUP(C17,ProductList!A:G,7,0)</f>
        <v>90000</v>
      </c>
      <c r="G17" s="2">
        <f t="shared" si="0"/>
        <v>540000</v>
      </c>
      <c r="H17">
        <v>23</v>
      </c>
      <c r="I17" s="2" t="str">
        <f>VLOOKUP(H17,User!A:D,4,0)</f>
        <v>전예진</v>
      </c>
      <c r="J17">
        <v>2</v>
      </c>
      <c r="K17">
        <v>0</v>
      </c>
      <c r="L17">
        <v>3</v>
      </c>
      <c r="M17">
        <v>1</v>
      </c>
    </row>
    <row r="18" spans="1:13">
      <c r="A18">
        <v>17</v>
      </c>
      <c r="B18" s="1">
        <v>45597</v>
      </c>
      <c r="C18">
        <v>18</v>
      </c>
      <c r="D18" s="2" t="str">
        <f>VLOOKUP(C18,ProductList!A:B,2,0)</f>
        <v>넘버 크랙 티 레드</v>
      </c>
      <c r="E18" s="2">
        <f>VLOOKUP(C18,ProductList!A:C,3,0)</f>
        <v>5000</v>
      </c>
      <c r="F18" s="2">
        <f>VLOOKUP(C18,ProductList!A:G,7,0)</f>
        <v>3500</v>
      </c>
      <c r="G18" s="2">
        <f t="shared" si="0"/>
        <v>42000</v>
      </c>
      <c r="H18">
        <v>5</v>
      </c>
      <c r="I18" s="2" t="str">
        <f>VLOOKUP(H18,User!A:D,4,0)</f>
        <v>박동현</v>
      </c>
      <c r="J18">
        <v>0</v>
      </c>
      <c r="K18">
        <v>4</v>
      </c>
      <c r="L18">
        <v>5</v>
      </c>
      <c r="M18">
        <v>3</v>
      </c>
    </row>
    <row r="19" spans="1:13">
      <c r="A19">
        <v>18</v>
      </c>
      <c r="B19" s="1">
        <v>45546</v>
      </c>
      <c r="C19">
        <v>27</v>
      </c>
      <c r="D19" s="2" t="str">
        <f>VLOOKUP(C19,ProductList!A:B,2,0)</f>
        <v>Steady Balloon Snap Pants Black</v>
      </c>
      <c r="E19" s="2">
        <f>VLOOKUP(C19,ProductList!A:C,3,0)</f>
        <v>80000</v>
      </c>
      <c r="F19" s="2">
        <f>VLOOKUP(C19,ProductList!A:G,7,0)</f>
        <v>80000</v>
      </c>
      <c r="G19" s="2">
        <f t="shared" si="0"/>
        <v>960000</v>
      </c>
      <c r="H19">
        <v>23</v>
      </c>
      <c r="I19" s="2" t="str">
        <f>VLOOKUP(H19,User!A:D,4,0)</f>
        <v>전예진</v>
      </c>
      <c r="J19">
        <v>4</v>
      </c>
      <c r="K19">
        <v>3</v>
      </c>
      <c r="L19">
        <v>2</v>
      </c>
      <c r="M19">
        <v>3</v>
      </c>
    </row>
    <row r="20" spans="1:13">
      <c r="A20">
        <v>19</v>
      </c>
      <c r="B20" s="1">
        <v>45510</v>
      </c>
      <c r="C20">
        <v>73</v>
      </c>
      <c r="D20" s="2" t="str">
        <f>VLOOKUP(C20,ProductList!A:B,2,0)</f>
        <v>데미지 워싱 데님 트러커 자켓 연청</v>
      </c>
      <c r="E20" s="2">
        <f>VLOOKUP(C20,ProductList!A:C,3,0)</f>
        <v>95000</v>
      </c>
      <c r="F20" s="2">
        <f>VLOOKUP(C20,ProductList!A:G,7,0)</f>
        <v>95000</v>
      </c>
      <c r="G20" s="2">
        <f t="shared" si="0"/>
        <v>1045000</v>
      </c>
      <c r="H20">
        <v>5</v>
      </c>
      <c r="I20" s="2" t="str">
        <f>VLOOKUP(H20,User!A:D,4,0)</f>
        <v>박동현</v>
      </c>
      <c r="J20">
        <v>5</v>
      </c>
      <c r="K20">
        <v>4</v>
      </c>
      <c r="L20">
        <v>0</v>
      </c>
      <c r="M20">
        <v>2</v>
      </c>
    </row>
    <row r="21" spans="1:13">
      <c r="A21">
        <v>20</v>
      </c>
      <c r="B21" s="1">
        <v>45656</v>
      </c>
      <c r="C21">
        <v>8</v>
      </c>
      <c r="D21" s="2" t="str">
        <f>VLOOKUP(C21,ProductList!A:B,2,0)</f>
        <v>더블코튼 피치스킨 오버핏 맨투맨 1992 블랙</v>
      </c>
      <c r="E21" s="2">
        <f>VLOOKUP(C21,ProductList!A:C,3,0)</f>
        <v>100000</v>
      </c>
      <c r="F21" s="2">
        <f>VLOOKUP(C21,ProductList!A:G,7,0)</f>
        <v>95000</v>
      </c>
      <c r="G21" s="2">
        <f t="shared" si="0"/>
        <v>665000</v>
      </c>
      <c r="H21">
        <v>20</v>
      </c>
      <c r="I21" s="2" t="str">
        <f>VLOOKUP(H21,User!A:D,4,0)</f>
        <v>이현준</v>
      </c>
      <c r="J21">
        <v>0</v>
      </c>
      <c r="K21">
        <v>1</v>
      </c>
      <c r="L21">
        <v>5</v>
      </c>
      <c r="M21">
        <v>1</v>
      </c>
    </row>
    <row r="22" spans="1:13">
      <c r="A22">
        <v>21</v>
      </c>
      <c r="B22" s="1">
        <v>45307</v>
      </c>
      <c r="C22">
        <v>65</v>
      </c>
      <c r="D22" s="2" t="str">
        <f>VLOOKUP(C22,ProductList!A:B,2,0)</f>
        <v>카라 블루종 스웨이드 자켓 블랙</v>
      </c>
      <c r="E22" s="2">
        <f>VLOOKUP(C22,ProductList!A:C,3,0)</f>
        <v>20000</v>
      </c>
      <c r="F22" s="2">
        <f>VLOOKUP(C22,ProductList!A:G,7,0)</f>
        <v>20000</v>
      </c>
      <c r="G22" s="2">
        <f t="shared" si="0"/>
        <v>280000</v>
      </c>
      <c r="H22">
        <v>12</v>
      </c>
      <c r="I22" s="2" t="str">
        <f>VLOOKUP(H22,User!A:D,4,0)</f>
        <v>이상현</v>
      </c>
      <c r="J22">
        <v>4</v>
      </c>
      <c r="K22">
        <v>0</v>
      </c>
      <c r="L22">
        <v>5</v>
      </c>
      <c r="M22">
        <v>5</v>
      </c>
    </row>
    <row r="23" spans="1:13">
      <c r="A23">
        <v>22</v>
      </c>
      <c r="B23" s="1">
        <v>45328</v>
      </c>
      <c r="C23">
        <v>69</v>
      </c>
      <c r="D23" s="2" t="str">
        <f>VLOOKUP(C23,ProductList!A:B,2,0)</f>
        <v>PLMT 아트피셜 자켓(블랙)</v>
      </c>
      <c r="E23" s="2">
        <f>VLOOKUP(C23,ProductList!A:C,3,0)</f>
        <v>60000</v>
      </c>
      <c r="F23" s="2">
        <f>VLOOKUP(C23,ProductList!A:G,7,0)</f>
        <v>57000</v>
      </c>
      <c r="G23" s="2">
        <f t="shared" si="0"/>
        <v>513000</v>
      </c>
      <c r="H23">
        <v>9</v>
      </c>
      <c r="I23" s="2" t="str">
        <f>VLOOKUP(H23,User!A:D,4,0)</f>
        <v>엄지혜</v>
      </c>
      <c r="J23">
        <v>1</v>
      </c>
      <c r="K23">
        <v>4</v>
      </c>
      <c r="L23">
        <v>1</v>
      </c>
      <c r="M23">
        <v>3</v>
      </c>
    </row>
    <row r="24" spans="1:13">
      <c r="A24">
        <v>23</v>
      </c>
      <c r="B24" s="1">
        <v>45623</v>
      </c>
      <c r="C24">
        <v>44</v>
      </c>
      <c r="D24" s="2" t="str">
        <f>VLOOKUP(C24,ProductList!A:B,2,0)</f>
        <v>GRAINY - 547(a)</v>
      </c>
      <c r="E24" s="2">
        <f>VLOOKUP(C24,ProductList!A:C,3,0)</f>
        <v>35000</v>
      </c>
      <c r="F24" s="2">
        <f>VLOOKUP(C24,ProductList!A:G,7,0)</f>
        <v>35000</v>
      </c>
      <c r="G24" s="2">
        <f t="shared" si="0"/>
        <v>280000</v>
      </c>
      <c r="H24">
        <v>21</v>
      </c>
      <c r="I24" s="2" t="str">
        <f>VLOOKUP(H24,User!A:D,4,0)</f>
        <v>김현정</v>
      </c>
      <c r="J24">
        <v>1</v>
      </c>
      <c r="K24">
        <v>0</v>
      </c>
      <c r="L24">
        <v>2</v>
      </c>
      <c r="M24">
        <v>5</v>
      </c>
    </row>
    <row r="25" spans="1:13">
      <c r="A25">
        <v>24</v>
      </c>
      <c r="B25" s="1">
        <v>45610</v>
      </c>
      <c r="C25">
        <v>37</v>
      </c>
      <c r="D25" s="2" t="str">
        <f>VLOOKUP(C25,ProductList!A:B,2,0)</f>
        <v>EERSUCKER COMFORT PANTS_CHARCOAL</v>
      </c>
      <c r="E25" s="2">
        <f>VLOOKUP(C25,ProductList!A:C,3,0)</f>
        <v>50000</v>
      </c>
      <c r="F25" s="2">
        <f>VLOOKUP(C25,ProductList!A:G,7,0)</f>
        <v>27500.000000000004</v>
      </c>
      <c r="G25" s="2">
        <f t="shared" si="0"/>
        <v>302500.00000000006</v>
      </c>
      <c r="H25">
        <v>3</v>
      </c>
      <c r="I25" s="2" t="str">
        <f>VLOOKUP(H25,User!A:D,4,0)</f>
        <v>강수빈</v>
      </c>
      <c r="J25">
        <v>3</v>
      </c>
      <c r="K25">
        <v>0</v>
      </c>
      <c r="L25">
        <v>3</v>
      </c>
      <c r="M25">
        <v>5</v>
      </c>
    </row>
    <row r="26" spans="1:13">
      <c r="A26">
        <v>25</v>
      </c>
      <c r="B26" s="1">
        <v>45608</v>
      </c>
      <c r="C26">
        <v>1</v>
      </c>
      <c r="D26" s="2" t="str">
        <f>VLOOKUP(C26,ProductList!A:B,2,0)</f>
        <v>린넨 스카시 니트 셔츠 BLACK</v>
      </c>
      <c r="E26" s="2">
        <f>VLOOKUP(C26,ProductList!A:C,3,0)</f>
        <v>100000</v>
      </c>
      <c r="F26" s="2">
        <f>VLOOKUP(C26,ProductList!A:G,7,0)</f>
        <v>100000</v>
      </c>
      <c r="G26" s="2">
        <f t="shared" si="0"/>
        <v>1000000</v>
      </c>
      <c r="H26">
        <v>5</v>
      </c>
      <c r="I26" s="2" t="str">
        <f>VLOOKUP(H26,User!A:D,4,0)</f>
        <v>박동현</v>
      </c>
      <c r="J26">
        <v>3</v>
      </c>
      <c r="K26">
        <v>3</v>
      </c>
      <c r="L26">
        <v>3</v>
      </c>
      <c r="M26">
        <v>1</v>
      </c>
    </row>
    <row r="27" spans="1:13">
      <c r="A27">
        <v>26</v>
      </c>
      <c r="B27" s="1">
        <v>45571</v>
      </c>
      <c r="C27">
        <v>62</v>
      </c>
      <c r="D27" s="2" t="str">
        <f>VLOOKUP(C27,ProductList!A:B,2,0)</f>
        <v>루즈핏 2-WAY 후드집업</v>
      </c>
      <c r="E27" s="2">
        <f>VLOOKUP(C27,ProductList!A:C,3,0)</f>
        <v>95000</v>
      </c>
      <c r="F27" s="2">
        <f>VLOOKUP(C27,ProductList!A:G,7,0)</f>
        <v>95000</v>
      </c>
      <c r="G27" s="2">
        <f t="shared" si="0"/>
        <v>950000</v>
      </c>
      <c r="H27">
        <v>22</v>
      </c>
      <c r="I27" s="2" t="str">
        <f>VLOOKUP(H27,User!A:D,4,0)</f>
        <v>손현우</v>
      </c>
      <c r="J27">
        <v>4</v>
      </c>
      <c r="K27">
        <v>2</v>
      </c>
      <c r="L27">
        <v>1</v>
      </c>
      <c r="M27">
        <v>3</v>
      </c>
    </row>
    <row r="28" spans="1:13">
      <c r="A28">
        <v>27</v>
      </c>
      <c r="B28" s="1">
        <v>45421</v>
      </c>
      <c r="C28">
        <v>10</v>
      </c>
      <c r="D28" s="2" t="str">
        <f>VLOOKUP(C28,ProductList!A:B,2,0)</f>
        <v>스피드 피그먼트 후드 딥그레이 KMHD6727</v>
      </c>
      <c r="E28" s="2">
        <f>VLOOKUP(C28,ProductList!A:C,3,0)</f>
        <v>45000</v>
      </c>
      <c r="F28" s="2">
        <f>VLOOKUP(C28,ProductList!A:G,7,0)</f>
        <v>38250</v>
      </c>
      <c r="G28" s="2">
        <f t="shared" si="0"/>
        <v>573750</v>
      </c>
      <c r="H28">
        <v>1</v>
      </c>
      <c r="I28" s="2" t="str">
        <f>VLOOKUP(H28,User!A:D,4,0)</f>
        <v>손준서</v>
      </c>
      <c r="J28">
        <v>3</v>
      </c>
      <c r="K28">
        <v>4</v>
      </c>
      <c r="L28">
        <v>3</v>
      </c>
      <c r="M28">
        <v>5</v>
      </c>
    </row>
    <row r="29" spans="1:13">
      <c r="A29">
        <v>28</v>
      </c>
      <c r="B29" s="1">
        <v>45511</v>
      </c>
      <c r="C29">
        <v>45</v>
      </c>
      <c r="D29" s="2" t="str">
        <f>VLOOKUP(C29,ProductList!A:B,2,0)</f>
        <v>남성용 소가죽 페니로퍼 HS-906_BLACK</v>
      </c>
      <c r="E29" s="2">
        <f>VLOOKUP(C29,ProductList!A:C,3,0)</f>
        <v>100000</v>
      </c>
      <c r="F29" s="2">
        <f>VLOOKUP(C29,ProductList!A:G,7,0)</f>
        <v>100000</v>
      </c>
      <c r="G29" s="2">
        <f t="shared" si="0"/>
        <v>1300000</v>
      </c>
      <c r="H29">
        <v>2</v>
      </c>
      <c r="I29" s="2" t="str">
        <f>VLOOKUP(H29,User!A:D,4,0)</f>
        <v>이예은</v>
      </c>
      <c r="J29">
        <v>4</v>
      </c>
      <c r="K29">
        <v>3</v>
      </c>
      <c r="L29">
        <v>5</v>
      </c>
      <c r="M29">
        <v>1</v>
      </c>
    </row>
    <row r="30" spans="1:13">
      <c r="A30">
        <v>29</v>
      </c>
      <c r="B30" s="1">
        <v>45378</v>
      </c>
      <c r="C30">
        <v>10</v>
      </c>
      <c r="D30" s="2" t="str">
        <f>VLOOKUP(C30,ProductList!A:B,2,0)</f>
        <v>스피드 피그먼트 후드 딥그레이 KMHD6727</v>
      </c>
      <c r="E30" s="2">
        <f>VLOOKUP(C30,ProductList!A:C,3,0)</f>
        <v>45000</v>
      </c>
      <c r="F30" s="2">
        <f>VLOOKUP(C30,ProductList!A:G,7,0)</f>
        <v>38250</v>
      </c>
      <c r="G30" s="2">
        <f t="shared" si="0"/>
        <v>267750</v>
      </c>
      <c r="H30">
        <v>21</v>
      </c>
      <c r="I30" s="2" t="str">
        <f>VLOOKUP(H30,User!A:D,4,0)</f>
        <v>김현정</v>
      </c>
      <c r="J30">
        <v>4</v>
      </c>
      <c r="K30">
        <v>2</v>
      </c>
      <c r="L30">
        <v>1</v>
      </c>
      <c r="M30">
        <v>0</v>
      </c>
    </row>
    <row r="31" spans="1:13">
      <c r="A31">
        <v>30</v>
      </c>
      <c r="B31" s="1">
        <v>45309</v>
      </c>
      <c r="C31">
        <v>61</v>
      </c>
      <c r="D31" s="2" t="str">
        <f>VLOOKUP(C31,ProductList!A:B,2,0)</f>
        <v>루즈핏 2Way 스웨트 후드집업</v>
      </c>
      <c r="E31" s="2">
        <f>VLOOKUP(C31,ProductList!A:C,3,0)</f>
        <v>65000</v>
      </c>
      <c r="F31" s="2">
        <f>VLOOKUP(C31,ProductList!A:G,7,0)</f>
        <v>65000</v>
      </c>
      <c r="G31" s="2">
        <f t="shared" si="0"/>
        <v>260000</v>
      </c>
      <c r="H31">
        <v>12</v>
      </c>
      <c r="I31" s="2" t="str">
        <f>VLOOKUP(H31,User!A:D,4,0)</f>
        <v>이상현</v>
      </c>
      <c r="J31">
        <v>0</v>
      </c>
      <c r="K31">
        <v>2</v>
      </c>
      <c r="L31">
        <v>0</v>
      </c>
      <c r="M31">
        <v>2</v>
      </c>
    </row>
    <row r="32" spans="1:13">
      <c r="A32">
        <v>31</v>
      </c>
      <c r="B32" s="1">
        <v>45458</v>
      </c>
      <c r="C32">
        <v>40</v>
      </c>
      <c r="D32" s="2" t="str">
        <f>VLOOKUP(C32,ProductList!A:B,2,0)</f>
        <v>10007 BK HORSE DERBY</v>
      </c>
      <c r="E32" s="2">
        <f>VLOOKUP(C32,ProductList!A:C,3,0)</f>
        <v>90000</v>
      </c>
      <c r="F32" s="2">
        <f>VLOOKUP(C32,ProductList!A:G,7,0)</f>
        <v>90000</v>
      </c>
      <c r="G32" s="2">
        <f t="shared" si="0"/>
        <v>1350000</v>
      </c>
      <c r="H32">
        <v>20</v>
      </c>
      <c r="I32" s="2" t="str">
        <f>VLOOKUP(H32,User!A:D,4,0)</f>
        <v>이현준</v>
      </c>
      <c r="J32">
        <v>3</v>
      </c>
      <c r="K32">
        <v>5</v>
      </c>
      <c r="L32">
        <v>5</v>
      </c>
      <c r="M32">
        <v>2</v>
      </c>
    </row>
    <row r="33" spans="1:13">
      <c r="A33">
        <v>32</v>
      </c>
      <c r="B33" s="1">
        <v>45420</v>
      </c>
      <c r="C33">
        <v>72</v>
      </c>
      <c r="D33" s="2" t="str">
        <f>VLOOKUP(C33,ProductList!A:B,2,0)</f>
        <v>VEGAN LEATHER THYNSULATE PADDING_CREAM</v>
      </c>
      <c r="E33" s="2">
        <f>VLOOKUP(C33,ProductList!A:C,3,0)</f>
        <v>5000</v>
      </c>
      <c r="F33" s="2">
        <f>VLOOKUP(C33,ProductList!A:G,7,0)</f>
        <v>4000</v>
      </c>
      <c r="G33" s="2">
        <f t="shared" si="0"/>
        <v>56000</v>
      </c>
      <c r="H33">
        <v>4</v>
      </c>
      <c r="I33" s="2" t="str">
        <f>VLOOKUP(H33,User!A:D,4,0)</f>
        <v>윤예지</v>
      </c>
      <c r="J33">
        <v>5</v>
      </c>
      <c r="K33">
        <v>3</v>
      </c>
      <c r="L33">
        <v>4</v>
      </c>
      <c r="M33">
        <v>2</v>
      </c>
    </row>
    <row r="34" spans="1:13">
      <c r="A34">
        <v>33</v>
      </c>
      <c r="B34" s="1">
        <v>45362</v>
      </c>
      <c r="C34">
        <v>47</v>
      </c>
      <c r="D34" s="2" t="str">
        <f>VLOOKUP(C34,ProductList!A:B,2,0)</f>
        <v>마쯔 남성 페니 로퍼 3.5cm LCMD82I111</v>
      </c>
      <c r="E34" s="2">
        <f>VLOOKUP(C34,ProductList!A:C,3,0)</f>
        <v>55000</v>
      </c>
      <c r="F34" s="2">
        <f>VLOOKUP(C34,ProductList!A:G,7,0)</f>
        <v>55000</v>
      </c>
      <c r="G34" s="2">
        <f t="shared" si="0"/>
        <v>880000</v>
      </c>
      <c r="H34">
        <v>24</v>
      </c>
      <c r="I34" s="2" t="str">
        <f>VLOOKUP(H34,User!A:D,4,0)</f>
        <v>박은정</v>
      </c>
      <c r="J34">
        <v>5</v>
      </c>
      <c r="K34">
        <v>4</v>
      </c>
      <c r="L34">
        <v>2</v>
      </c>
      <c r="M34">
        <v>5</v>
      </c>
    </row>
    <row r="35" spans="1:13">
      <c r="A35">
        <v>34</v>
      </c>
      <c r="B35" s="1">
        <v>45303</v>
      </c>
      <c r="C35">
        <v>11</v>
      </c>
      <c r="D35" s="2" t="str">
        <f>VLOOKUP(C35,ProductList!A:B,2,0)</f>
        <v>BEARS BASKETBALL DIET HOODIE GRAY</v>
      </c>
      <c r="E35" s="2">
        <f>VLOOKUP(C35,ProductList!A:C,3,0)</f>
        <v>10000</v>
      </c>
      <c r="F35" s="2">
        <f>VLOOKUP(C35,ProductList!A:G,7,0)</f>
        <v>10000</v>
      </c>
      <c r="G35" s="2">
        <f t="shared" si="0"/>
        <v>140000</v>
      </c>
      <c r="H35">
        <v>19</v>
      </c>
      <c r="I35" s="2" t="str">
        <f>VLOOKUP(H35,User!A:D,4,0)</f>
        <v>박정수</v>
      </c>
      <c r="J35">
        <v>5</v>
      </c>
      <c r="K35">
        <v>4</v>
      </c>
      <c r="L35">
        <v>1</v>
      </c>
      <c r="M35">
        <v>4</v>
      </c>
    </row>
    <row r="36" spans="1:13">
      <c r="A36">
        <v>35</v>
      </c>
      <c r="B36" s="1">
        <v>45613</v>
      </c>
      <c r="C36">
        <v>18</v>
      </c>
      <c r="D36" s="2" t="str">
        <f>VLOOKUP(C36,ProductList!A:B,2,0)</f>
        <v>넘버 크랙 티 레드</v>
      </c>
      <c r="E36" s="2">
        <f>VLOOKUP(C36,ProductList!A:C,3,0)</f>
        <v>5000</v>
      </c>
      <c r="F36" s="2">
        <f>VLOOKUP(C36,ProductList!A:G,7,0)</f>
        <v>3500</v>
      </c>
      <c r="G36" s="2">
        <f t="shared" si="0"/>
        <v>42000</v>
      </c>
      <c r="H36">
        <v>6</v>
      </c>
      <c r="I36" s="2" t="str">
        <f>VLOOKUP(H36,User!A:D,4,0)</f>
        <v>이성민</v>
      </c>
      <c r="J36">
        <v>1</v>
      </c>
      <c r="K36">
        <v>5</v>
      </c>
      <c r="L36">
        <v>1</v>
      </c>
      <c r="M36">
        <v>5</v>
      </c>
    </row>
    <row r="37" spans="1:13">
      <c r="A37">
        <v>36</v>
      </c>
      <c r="B37" s="1">
        <v>45352</v>
      </c>
      <c r="C37">
        <v>1</v>
      </c>
      <c r="D37" s="2" t="str">
        <f>VLOOKUP(C37,ProductList!A:B,2,0)</f>
        <v>린넨 스카시 니트 셔츠 BLACK</v>
      </c>
      <c r="E37" s="2">
        <f>VLOOKUP(C37,ProductList!A:C,3,0)</f>
        <v>100000</v>
      </c>
      <c r="F37" s="2">
        <f>VLOOKUP(C37,ProductList!A:G,7,0)</f>
        <v>100000</v>
      </c>
      <c r="G37" s="2">
        <f t="shared" si="0"/>
        <v>1100000</v>
      </c>
      <c r="H37">
        <v>8</v>
      </c>
      <c r="I37" s="2" t="str">
        <f>VLOOKUP(H37,User!A:D,4,0)</f>
        <v>이수민</v>
      </c>
      <c r="J37">
        <v>5</v>
      </c>
      <c r="K37">
        <v>1</v>
      </c>
      <c r="L37">
        <v>2</v>
      </c>
      <c r="M37">
        <v>3</v>
      </c>
    </row>
    <row r="38" spans="1:13">
      <c r="A38">
        <v>37</v>
      </c>
      <c r="B38" s="1">
        <v>45370</v>
      </c>
      <c r="C38">
        <v>46</v>
      </c>
      <c r="D38" s="2" t="str">
        <f>VLOOKUP(C38,ProductList!A:B,2,0)</f>
        <v>10008 BK HORSE LOAFERS</v>
      </c>
      <c r="E38" s="2">
        <f>VLOOKUP(C38,ProductList!A:C,3,0)</f>
        <v>25000</v>
      </c>
      <c r="F38" s="2">
        <f>VLOOKUP(C38,ProductList!A:G,7,0)</f>
        <v>25000</v>
      </c>
      <c r="G38" s="2">
        <f t="shared" si="0"/>
        <v>350000</v>
      </c>
      <c r="H38">
        <v>28</v>
      </c>
      <c r="I38" s="2" t="str">
        <f>VLOOKUP(H38,User!A:D,4,0)</f>
        <v>류진우</v>
      </c>
      <c r="J38">
        <v>5</v>
      </c>
      <c r="K38">
        <v>3</v>
      </c>
      <c r="L38">
        <v>3</v>
      </c>
      <c r="M38">
        <v>3</v>
      </c>
    </row>
    <row r="39" spans="1:13">
      <c r="A39">
        <v>38</v>
      </c>
      <c r="B39" s="1">
        <v>45518</v>
      </c>
      <c r="C39">
        <v>52</v>
      </c>
      <c r="D39" s="2" t="str">
        <f>VLOOKUP(C39,ProductList!A:B,2,0)</f>
        <v>볼드 메리제인</v>
      </c>
      <c r="E39" s="2">
        <f>VLOOKUP(C39,ProductList!A:C,3,0)</f>
        <v>65000</v>
      </c>
      <c r="F39" s="2">
        <f>VLOOKUP(C39,ProductList!A:G,7,0)</f>
        <v>65000</v>
      </c>
      <c r="G39" s="2">
        <f t="shared" si="0"/>
        <v>650000</v>
      </c>
      <c r="H39">
        <v>8</v>
      </c>
      <c r="I39" s="2" t="str">
        <f>VLOOKUP(H39,User!A:D,4,0)</f>
        <v>이수민</v>
      </c>
      <c r="J39">
        <v>2</v>
      </c>
      <c r="K39">
        <v>2</v>
      </c>
      <c r="L39">
        <v>5</v>
      </c>
      <c r="M39">
        <v>1</v>
      </c>
    </row>
    <row r="40" spans="1:13">
      <c r="A40">
        <v>39</v>
      </c>
      <c r="B40" s="1">
        <v>45296</v>
      </c>
      <c r="C40">
        <v>24</v>
      </c>
      <c r="D40" s="2" t="str">
        <f>VLOOKUP(C40,ProductList!A:B,2,0)</f>
        <v>ANW Double Jersey Short Pants</v>
      </c>
      <c r="E40" s="2">
        <f>VLOOKUP(C40,ProductList!A:C,3,0)</f>
        <v>30000</v>
      </c>
      <c r="F40" s="2">
        <f>VLOOKUP(C40,ProductList!A:G,7,0)</f>
        <v>30000</v>
      </c>
      <c r="G40" s="2">
        <f t="shared" si="0"/>
        <v>240000</v>
      </c>
      <c r="H40">
        <v>27</v>
      </c>
      <c r="I40" s="2" t="str">
        <f>VLOOKUP(H40,User!A:D,4,0)</f>
        <v>김정희</v>
      </c>
      <c r="J40">
        <v>5</v>
      </c>
      <c r="K40">
        <v>2</v>
      </c>
      <c r="L40">
        <v>0</v>
      </c>
      <c r="M40">
        <v>1</v>
      </c>
    </row>
    <row r="41" spans="1:13">
      <c r="A41">
        <v>40</v>
      </c>
      <c r="B41" s="1">
        <v>45526</v>
      </c>
      <c r="C41">
        <v>58</v>
      </c>
      <c r="D41" s="2" t="str">
        <f>VLOOKUP(C41,ProductList!A:B,2,0)</f>
        <v>OORIGINAL BLACK - 조리 블랙</v>
      </c>
      <c r="E41" s="2">
        <f>VLOOKUP(C41,ProductList!A:C,3,0)</f>
        <v>20000</v>
      </c>
      <c r="F41" s="2">
        <f>VLOOKUP(C41,ProductList!A:G,7,0)</f>
        <v>20000</v>
      </c>
      <c r="G41" s="2">
        <f t="shared" si="0"/>
        <v>220000</v>
      </c>
      <c r="H41">
        <v>21</v>
      </c>
      <c r="I41" s="2" t="str">
        <f>VLOOKUP(H41,User!A:D,4,0)</f>
        <v>김현정</v>
      </c>
      <c r="J41">
        <v>2</v>
      </c>
      <c r="K41">
        <v>4</v>
      </c>
      <c r="L41">
        <v>3</v>
      </c>
      <c r="M41">
        <v>2</v>
      </c>
    </row>
    <row r="42" spans="1:13">
      <c r="A42">
        <v>41</v>
      </c>
      <c r="B42" s="1">
        <v>45481</v>
      </c>
      <c r="C42">
        <v>19</v>
      </c>
      <c r="D42" s="2" t="str">
        <f>VLOOKUP(C42,ProductList!A:B,2,0)</f>
        <v>ARMED 23 저지 티셔츠 [블랙]</v>
      </c>
      <c r="E42" s="2">
        <f>VLOOKUP(C42,ProductList!A:C,3,0)</f>
        <v>70000</v>
      </c>
      <c r="F42" s="2">
        <f>VLOOKUP(C42,ProductList!A:G,7,0)</f>
        <v>70000</v>
      </c>
      <c r="G42" s="2">
        <f t="shared" si="0"/>
        <v>980000</v>
      </c>
      <c r="H42">
        <v>16</v>
      </c>
      <c r="I42" s="2" t="str">
        <f>VLOOKUP(H42,User!A:D,4,0)</f>
        <v>우정식</v>
      </c>
      <c r="J42">
        <v>2</v>
      </c>
      <c r="K42">
        <v>5</v>
      </c>
      <c r="L42">
        <v>4</v>
      </c>
      <c r="M42">
        <v>3</v>
      </c>
    </row>
    <row r="43" spans="1:13">
      <c r="A43">
        <v>42</v>
      </c>
      <c r="B43" s="1">
        <v>45651</v>
      </c>
      <c r="C43">
        <v>17</v>
      </c>
      <c r="D43" s="2" t="str">
        <f>VLOOKUP(C43,ProductList!A:B,2,0)</f>
        <v>[3PACK]퓨어코튼 24수 롱기장 레이어드 반팔</v>
      </c>
      <c r="E43" s="2">
        <f>VLOOKUP(C43,ProductList!A:C,3,0)</f>
        <v>50000</v>
      </c>
      <c r="F43" s="2">
        <f>VLOOKUP(C43,ProductList!A:G,7,0)</f>
        <v>50000</v>
      </c>
      <c r="G43" s="2">
        <f t="shared" si="0"/>
        <v>350000</v>
      </c>
      <c r="H43">
        <v>7</v>
      </c>
      <c r="I43" s="2" t="str">
        <f>VLOOKUP(H43,User!A:D,4,0)</f>
        <v>박영호</v>
      </c>
      <c r="J43">
        <v>3</v>
      </c>
      <c r="K43">
        <v>1</v>
      </c>
      <c r="L43">
        <v>1</v>
      </c>
      <c r="M43">
        <v>2</v>
      </c>
    </row>
    <row r="44" spans="1:13">
      <c r="A44">
        <v>43</v>
      </c>
      <c r="B44" s="1">
        <v>45415</v>
      </c>
      <c r="C44">
        <v>49</v>
      </c>
      <c r="D44" s="2" t="str">
        <f>VLOOKUP(C44,ProductList!A:B,2,0)</f>
        <v>BRYN VELCRO SNEAKERS - 3color</v>
      </c>
      <c r="E44" s="2">
        <f>VLOOKUP(C44,ProductList!A:C,3,0)</f>
        <v>10000</v>
      </c>
      <c r="F44" s="2">
        <f>VLOOKUP(C44,ProductList!A:G,7,0)</f>
        <v>10000</v>
      </c>
      <c r="G44" s="2">
        <f t="shared" si="0"/>
        <v>140000</v>
      </c>
      <c r="H44">
        <v>30</v>
      </c>
      <c r="I44" s="2" t="str">
        <f>VLOOKUP(H44,User!A:D,4,0)</f>
        <v>박성민</v>
      </c>
      <c r="J44">
        <v>3</v>
      </c>
      <c r="K44">
        <v>3</v>
      </c>
      <c r="L44">
        <v>4</v>
      </c>
      <c r="M44">
        <v>4</v>
      </c>
    </row>
    <row r="45" spans="1:13">
      <c r="A45">
        <v>44</v>
      </c>
      <c r="B45" s="1">
        <v>45361</v>
      </c>
      <c r="C45">
        <v>72</v>
      </c>
      <c r="D45" s="2" t="str">
        <f>VLOOKUP(C45,ProductList!A:B,2,0)</f>
        <v>VEGAN LEATHER THYNSULATE PADDING_CREAM</v>
      </c>
      <c r="E45" s="2">
        <f>VLOOKUP(C45,ProductList!A:C,3,0)</f>
        <v>5000</v>
      </c>
      <c r="F45" s="2">
        <f>VLOOKUP(C45,ProductList!A:G,7,0)</f>
        <v>4000</v>
      </c>
      <c r="G45" s="2">
        <f t="shared" si="0"/>
        <v>28000</v>
      </c>
      <c r="H45">
        <v>25</v>
      </c>
      <c r="I45" s="2" t="str">
        <f>VLOOKUP(H45,User!A:D,4,0)</f>
        <v>김영미</v>
      </c>
      <c r="J45">
        <v>1</v>
      </c>
      <c r="K45">
        <v>4</v>
      </c>
      <c r="L45">
        <v>0</v>
      </c>
      <c r="M45">
        <v>2</v>
      </c>
    </row>
    <row r="46" spans="1:13">
      <c r="A46">
        <v>45</v>
      </c>
      <c r="B46" s="1">
        <v>45514</v>
      </c>
      <c r="C46">
        <v>21</v>
      </c>
      <c r="D46" s="2" t="str">
        <f>VLOOKUP(C46,ProductList!A:B,2,0)</f>
        <v>버뮤다 데님 숏팬츠(JBTPNT-0014)</v>
      </c>
      <c r="E46" s="2">
        <f>VLOOKUP(C46,ProductList!A:C,3,0)</f>
        <v>35000</v>
      </c>
      <c r="F46" s="2">
        <f>VLOOKUP(C46,ProductList!A:G,7,0)</f>
        <v>22750</v>
      </c>
      <c r="G46" s="2">
        <f t="shared" si="0"/>
        <v>250250</v>
      </c>
      <c r="H46">
        <v>21</v>
      </c>
      <c r="I46" s="2" t="str">
        <f>VLOOKUP(H46,User!A:D,4,0)</f>
        <v>김현정</v>
      </c>
      <c r="J46">
        <v>3</v>
      </c>
      <c r="K46">
        <v>2</v>
      </c>
      <c r="L46">
        <v>5</v>
      </c>
      <c r="M46">
        <v>1</v>
      </c>
    </row>
    <row r="47" spans="1:13">
      <c r="A47">
        <v>46</v>
      </c>
      <c r="B47" s="1">
        <v>45358</v>
      </c>
      <c r="C47">
        <v>52</v>
      </c>
      <c r="D47" s="2" t="str">
        <f>VLOOKUP(C47,ProductList!A:B,2,0)</f>
        <v>볼드 메리제인</v>
      </c>
      <c r="E47" s="2">
        <f>VLOOKUP(C47,ProductList!A:C,3,0)</f>
        <v>65000</v>
      </c>
      <c r="F47" s="2">
        <f>VLOOKUP(C47,ProductList!A:G,7,0)</f>
        <v>65000</v>
      </c>
      <c r="G47" s="2">
        <f t="shared" si="0"/>
        <v>585000</v>
      </c>
      <c r="H47">
        <v>22</v>
      </c>
      <c r="I47" s="2" t="str">
        <f>VLOOKUP(H47,User!A:D,4,0)</f>
        <v>손현우</v>
      </c>
      <c r="J47">
        <v>2</v>
      </c>
      <c r="K47">
        <v>4</v>
      </c>
      <c r="L47">
        <v>1</v>
      </c>
      <c r="M47">
        <v>2</v>
      </c>
    </row>
    <row r="48" spans="1:13">
      <c r="A48">
        <v>47</v>
      </c>
      <c r="B48" s="1">
        <v>45400</v>
      </c>
      <c r="C48">
        <v>43</v>
      </c>
      <c r="D48" s="2" t="str">
        <f>VLOOKUP(C48,ProductList!A:B,2,0)</f>
        <v>ZERO DERBY 더비 01</v>
      </c>
      <c r="E48" s="2">
        <f>VLOOKUP(C48,ProductList!A:C,3,0)</f>
        <v>35000</v>
      </c>
      <c r="F48" s="2">
        <f>VLOOKUP(C48,ProductList!A:G,7,0)</f>
        <v>35000</v>
      </c>
      <c r="G48" s="2">
        <f t="shared" si="0"/>
        <v>350000</v>
      </c>
      <c r="H48">
        <v>30</v>
      </c>
      <c r="I48" s="2" t="str">
        <f>VLOOKUP(H48,User!A:D,4,0)</f>
        <v>박성민</v>
      </c>
      <c r="J48">
        <v>2</v>
      </c>
      <c r="K48">
        <v>1</v>
      </c>
      <c r="L48">
        <v>4</v>
      </c>
      <c r="M48">
        <v>3</v>
      </c>
    </row>
    <row r="49" spans="1:13">
      <c r="A49">
        <v>48</v>
      </c>
      <c r="B49" s="1">
        <v>45654</v>
      </c>
      <c r="C49">
        <v>1</v>
      </c>
      <c r="D49" s="2" t="str">
        <f>VLOOKUP(C49,ProductList!A:B,2,0)</f>
        <v>린넨 스카시 니트 셔츠 BLACK</v>
      </c>
      <c r="E49" s="2">
        <f>VLOOKUP(C49,ProductList!A:C,3,0)</f>
        <v>100000</v>
      </c>
      <c r="F49" s="2">
        <f>VLOOKUP(C49,ProductList!A:G,7,0)</f>
        <v>100000</v>
      </c>
      <c r="G49" s="2">
        <f t="shared" si="0"/>
        <v>800000</v>
      </c>
      <c r="H49">
        <v>28</v>
      </c>
      <c r="I49" s="2" t="str">
        <f>VLOOKUP(H49,User!A:D,4,0)</f>
        <v>류진우</v>
      </c>
      <c r="J49">
        <v>3</v>
      </c>
      <c r="K49">
        <v>1</v>
      </c>
      <c r="L49">
        <v>4</v>
      </c>
      <c r="M49">
        <v>0</v>
      </c>
    </row>
    <row r="50" spans="1:13">
      <c r="A50">
        <v>49</v>
      </c>
      <c r="B50" s="1">
        <v>45347</v>
      </c>
      <c r="C50">
        <v>22</v>
      </c>
      <c r="D50" s="2" t="str">
        <f>VLOOKUP(C50,ProductList!A:B,2,0)</f>
        <v>BELTED DOBBY SHORTS</v>
      </c>
      <c r="E50" s="2">
        <f>VLOOKUP(C50,ProductList!A:C,3,0)</f>
        <v>5000</v>
      </c>
      <c r="F50" s="2">
        <f>VLOOKUP(C50,ProductList!A:G,7,0)</f>
        <v>5000</v>
      </c>
      <c r="G50" s="2">
        <f t="shared" si="0"/>
        <v>25000</v>
      </c>
      <c r="H50">
        <v>1</v>
      </c>
      <c r="I50" s="2" t="str">
        <f>VLOOKUP(H50,User!A:D,4,0)</f>
        <v>손준서</v>
      </c>
      <c r="J50">
        <v>2</v>
      </c>
      <c r="K50">
        <v>1</v>
      </c>
      <c r="L50">
        <v>0</v>
      </c>
      <c r="M50">
        <v>2</v>
      </c>
    </row>
    <row r="51" spans="1:13">
      <c r="A51">
        <v>50</v>
      </c>
      <c r="B51" s="1">
        <v>45334</v>
      </c>
      <c r="C51">
        <v>14</v>
      </c>
      <c r="D51" s="2" t="str">
        <f>VLOOKUP(C51,ProductList!A:B,2,0)</f>
        <v>입으면 바로 힙스터 LS 티셔츠 [블랙]</v>
      </c>
      <c r="E51" s="2">
        <f>VLOOKUP(C51,ProductList!A:C,3,0)</f>
        <v>75000</v>
      </c>
      <c r="F51" s="2">
        <f>VLOOKUP(C51,ProductList!A:G,7,0)</f>
        <v>75000</v>
      </c>
      <c r="G51" s="2">
        <f t="shared" si="0"/>
        <v>675000</v>
      </c>
      <c r="H51">
        <v>19</v>
      </c>
      <c r="I51" s="2" t="str">
        <f>VLOOKUP(H51,User!A:D,4,0)</f>
        <v>박정수</v>
      </c>
      <c r="J51">
        <v>3</v>
      </c>
      <c r="K51">
        <v>1</v>
      </c>
      <c r="L51">
        <v>2</v>
      </c>
      <c r="M51">
        <v>3</v>
      </c>
    </row>
    <row r="52" spans="1:13">
      <c r="A52">
        <v>51</v>
      </c>
      <c r="B52" s="1">
        <v>45555</v>
      </c>
      <c r="C52">
        <v>64</v>
      </c>
      <c r="D52" s="2" t="str">
        <f>VLOOKUP(C52,ProductList!A:B,2,0)</f>
        <v>포시즌 에센셜 피그먼트 후드집업</v>
      </c>
      <c r="E52" s="2">
        <f>VLOOKUP(C52,ProductList!A:C,3,0)</f>
        <v>5000</v>
      </c>
      <c r="F52" s="2">
        <f>VLOOKUP(C52,ProductList!A:G,7,0)</f>
        <v>5000</v>
      </c>
      <c r="G52" s="2">
        <f t="shared" si="0"/>
        <v>45000</v>
      </c>
      <c r="H52">
        <v>19</v>
      </c>
      <c r="I52" s="2" t="str">
        <f>VLOOKUP(H52,User!A:D,4,0)</f>
        <v>박정수</v>
      </c>
      <c r="J52">
        <v>0</v>
      </c>
      <c r="K52">
        <v>0</v>
      </c>
      <c r="L52">
        <v>4</v>
      </c>
      <c r="M52">
        <v>5</v>
      </c>
    </row>
    <row r="53" spans="1:13">
      <c r="A53">
        <v>52</v>
      </c>
      <c r="B53" s="1">
        <v>45397</v>
      </c>
      <c r="C53">
        <v>48</v>
      </c>
      <c r="D53" s="2" t="str">
        <f>VLOOKUP(C53,ProductList!A:B,2,0)</f>
        <v>ljh7043 Platform maryjane loafer _ 2colors</v>
      </c>
      <c r="E53" s="2">
        <f>VLOOKUP(C53,ProductList!A:C,3,0)</f>
        <v>55000</v>
      </c>
      <c r="F53" s="2">
        <f>VLOOKUP(C53,ProductList!A:G,7,0)</f>
        <v>55000</v>
      </c>
      <c r="G53" s="2">
        <f t="shared" si="0"/>
        <v>605000</v>
      </c>
      <c r="H53">
        <v>20</v>
      </c>
      <c r="I53" s="2" t="str">
        <f>VLOOKUP(H53,User!A:D,4,0)</f>
        <v>이현준</v>
      </c>
      <c r="J53">
        <v>5</v>
      </c>
      <c r="K53">
        <v>4</v>
      </c>
      <c r="L53">
        <v>1</v>
      </c>
      <c r="M53">
        <v>1</v>
      </c>
    </row>
    <row r="54" spans="1:13">
      <c r="A54">
        <v>53</v>
      </c>
      <c r="B54" s="1">
        <v>45425</v>
      </c>
      <c r="C54">
        <v>20</v>
      </c>
      <c r="D54" s="2" t="str">
        <f>VLOOKUP(C54,ProductList!A:B,2,0)</f>
        <v>MOT SERIES TEE</v>
      </c>
      <c r="E54" s="2">
        <f>VLOOKUP(C54,ProductList!A:C,3,0)</f>
        <v>65000</v>
      </c>
      <c r="F54" s="2">
        <f>VLOOKUP(C54,ProductList!A:G,7,0)</f>
        <v>65000</v>
      </c>
      <c r="G54" s="2">
        <f t="shared" si="0"/>
        <v>455000</v>
      </c>
      <c r="H54">
        <v>12</v>
      </c>
      <c r="I54" s="2" t="str">
        <f>VLOOKUP(H54,User!A:D,4,0)</f>
        <v>이상현</v>
      </c>
      <c r="J54">
        <v>0</v>
      </c>
      <c r="K54">
        <v>4</v>
      </c>
      <c r="L54">
        <v>2</v>
      </c>
      <c r="M54">
        <v>1</v>
      </c>
    </row>
    <row r="55" spans="1:13">
      <c r="A55">
        <v>54</v>
      </c>
      <c r="B55" s="1">
        <v>45360</v>
      </c>
      <c r="C55">
        <v>9</v>
      </c>
      <c r="D55" s="2" t="str">
        <f>VLOOKUP(C55,ProductList!A:B,2,0)</f>
        <v>에센셜 후드 스웻 셔츠 (MELANGE GREY)</v>
      </c>
      <c r="E55" s="2">
        <f>VLOOKUP(C55,ProductList!A:C,3,0)</f>
        <v>40000</v>
      </c>
      <c r="F55" s="2">
        <f>VLOOKUP(C55,ProductList!A:G,7,0)</f>
        <v>40000</v>
      </c>
      <c r="G55" s="2">
        <f t="shared" si="0"/>
        <v>440000</v>
      </c>
      <c r="H55">
        <v>30</v>
      </c>
      <c r="I55" s="2" t="str">
        <f>VLOOKUP(H55,User!A:D,4,0)</f>
        <v>박성민</v>
      </c>
      <c r="J55">
        <v>0</v>
      </c>
      <c r="K55">
        <v>4</v>
      </c>
      <c r="L55">
        <v>4</v>
      </c>
      <c r="M55">
        <v>3</v>
      </c>
    </row>
    <row r="56" spans="1:13">
      <c r="A56">
        <v>55</v>
      </c>
      <c r="B56" s="1">
        <v>45634</v>
      </c>
      <c r="C56">
        <v>61</v>
      </c>
      <c r="D56" s="2" t="str">
        <f>VLOOKUP(C56,ProductList!A:B,2,0)</f>
        <v>루즈핏 2Way 스웨트 후드집업</v>
      </c>
      <c r="E56" s="2">
        <f>VLOOKUP(C56,ProductList!A:C,3,0)</f>
        <v>65000</v>
      </c>
      <c r="F56" s="2">
        <f>VLOOKUP(C56,ProductList!A:G,7,0)</f>
        <v>65000</v>
      </c>
      <c r="G56" s="2">
        <f t="shared" si="0"/>
        <v>390000</v>
      </c>
      <c r="H56">
        <v>9</v>
      </c>
      <c r="I56" s="2" t="str">
        <f>VLOOKUP(H56,User!A:D,4,0)</f>
        <v>엄지혜</v>
      </c>
      <c r="J56">
        <v>0</v>
      </c>
      <c r="K56">
        <v>0</v>
      </c>
      <c r="L56">
        <v>1</v>
      </c>
      <c r="M56">
        <v>5</v>
      </c>
    </row>
    <row r="57" spans="1:13">
      <c r="A57">
        <v>56</v>
      </c>
      <c r="B57" s="1">
        <v>45498</v>
      </c>
      <c r="C57">
        <v>16</v>
      </c>
      <c r="D57" s="2" t="str">
        <f>VLOOKUP(C57,ProductList!A:B,2,0)</f>
        <v>리즌 트레일 피그먼트 롱 슬리브 크림</v>
      </c>
      <c r="E57" s="2">
        <f>VLOOKUP(C57,ProductList!A:C,3,0)</f>
        <v>65000</v>
      </c>
      <c r="F57" s="2">
        <f>VLOOKUP(C57,ProductList!A:G,7,0)</f>
        <v>65000</v>
      </c>
      <c r="G57" s="2">
        <f t="shared" si="0"/>
        <v>715000</v>
      </c>
      <c r="H57">
        <v>26</v>
      </c>
      <c r="I57" s="2" t="str">
        <f>VLOOKUP(H57,User!A:D,4,0)</f>
        <v>김은지</v>
      </c>
      <c r="J57">
        <v>2</v>
      </c>
      <c r="K57">
        <v>2</v>
      </c>
      <c r="L57">
        <v>5</v>
      </c>
      <c r="M57">
        <v>2</v>
      </c>
    </row>
    <row r="58" spans="1:13">
      <c r="A58">
        <v>57</v>
      </c>
      <c r="B58" s="1">
        <v>45594</v>
      </c>
      <c r="C58">
        <v>1</v>
      </c>
      <c r="D58" s="2" t="str">
        <f>VLOOKUP(C58,ProductList!A:B,2,0)</f>
        <v>린넨 스카시 니트 셔츠 BLACK</v>
      </c>
      <c r="E58" s="2">
        <f>VLOOKUP(C58,ProductList!A:C,3,0)</f>
        <v>100000</v>
      </c>
      <c r="F58" s="2">
        <f>VLOOKUP(C58,ProductList!A:G,7,0)</f>
        <v>100000</v>
      </c>
      <c r="G58" s="2">
        <f t="shared" si="0"/>
        <v>1500000</v>
      </c>
      <c r="H58">
        <v>6</v>
      </c>
      <c r="I58" s="2" t="str">
        <f>VLOOKUP(H58,User!A:D,4,0)</f>
        <v>이성민</v>
      </c>
      <c r="J58">
        <v>5</v>
      </c>
      <c r="K58">
        <v>3</v>
      </c>
      <c r="L58">
        <v>4</v>
      </c>
      <c r="M58">
        <v>3</v>
      </c>
    </row>
    <row r="59" spans="1:13">
      <c r="A59">
        <v>58</v>
      </c>
      <c r="B59" s="1">
        <v>45510</v>
      </c>
      <c r="C59">
        <v>14</v>
      </c>
      <c r="D59" s="2" t="str">
        <f>VLOOKUP(C59,ProductList!A:B,2,0)</f>
        <v>입으면 바로 힙스터 LS 티셔츠 [블랙]</v>
      </c>
      <c r="E59" s="2">
        <f>VLOOKUP(C59,ProductList!A:C,3,0)</f>
        <v>75000</v>
      </c>
      <c r="F59" s="2">
        <f>VLOOKUP(C59,ProductList!A:G,7,0)</f>
        <v>75000</v>
      </c>
      <c r="G59" s="2">
        <f t="shared" si="0"/>
        <v>975000</v>
      </c>
      <c r="H59">
        <v>4</v>
      </c>
      <c r="I59" s="2" t="str">
        <f>VLOOKUP(H59,User!A:D,4,0)</f>
        <v>윤예지</v>
      </c>
      <c r="J59">
        <v>3</v>
      </c>
      <c r="K59">
        <v>4</v>
      </c>
      <c r="L59">
        <v>4</v>
      </c>
      <c r="M59">
        <v>2</v>
      </c>
    </row>
    <row r="60" spans="1:13">
      <c r="A60">
        <v>59</v>
      </c>
      <c r="B60" s="1">
        <v>45413</v>
      </c>
      <c r="C60">
        <v>15</v>
      </c>
      <c r="D60" s="2" t="str">
        <f>VLOOKUP(C60,ProductList!A:B,2,0)</f>
        <v>Moon Night Raglan L/S Tee [4Color]</v>
      </c>
      <c r="E60" s="2">
        <f>VLOOKUP(C60,ProductList!A:C,3,0)</f>
        <v>45000</v>
      </c>
      <c r="F60" s="2">
        <f>VLOOKUP(C60,ProductList!A:G,7,0)</f>
        <v>36000</v>
      </c>
      <c r="G60" s="2">
        <f t="shared" si="0"/>
        <v>432000</v>
      </c>
      <c r="H60">
        <v>28</v>
      </c>
      <c r="I60" s="2" t="str">
        <f>VLOOKUP(H60,User!A:D,4,0)</f>
        <v>류진우</v>
      </c>
      <c r="J60">
        <v>5</v>
      </c>
      <c r="K60">
        <v>1</v>
      </c>
      <c r="L60">
        <v>2</v>
      </c>
      <c r="M60">
        <v>4</v>
      </c>
    </row>
    <row r="61" spans="1:13">
      <c r="A61">
        <v>60</v>
      </c>
      <c r="B61" s="1">
        <v>45504</v>
      </c>
      <c r="C61">
        <v>1</v>
      </c>
      <c r="D61" s="2" t="str">
        <f>VLOOKUP(C61,ProductList!A:B,2,0)</f>
        <v>린넨 스카시 니트 셔츠 BLACK</v>
      </c>
      <c r="E61" s="2">
        <f>VLOOKUP(C61,ProductList!A:C,3,0)</f>
        <v>100000</v>
      </c>
      <c r="F61" s="2">
        <f>VLOOKUP(C61,ProductList!A:G,7,0)</f>
        <v>100000</v>
      </c>
      <c r="G61" s="2">
        <f t="shared" si="0"/>
        <v>700000</v>
      </c>
      <c r="H61">
        <v>3</v>
      </c>
      <c r="I61" s="2" t="str">
        <f>VLOOKUP(H61,User!A:D,4,0)</f>
        <v>강수빈</v>
      </c>
      <c r="J61">
        <v>1</v>
      </c>
      <c r="K61">
        <v>2</v>
      </c>
      <c r="L61">
        <v>1</v>
      </c>
      <c r="M61">
        <v>3</v>
      </c>
    </row>
    <row r="62" spans="1:13">
      <c r="A62">
        <v>61</v>
      </c>
      <c r="B62" s="1">
        <v>45498</v>
      </c>
      <c r="C62">
        <v>34</v>
      </c>
      <c r="D62" s="2" t="str">
        <f>VLOOKUP(C62,ProductList!A:B,2,0)</f>
        <v>에어 썸머 조거 밴딩 바스락 팬츠 5PP911</v>
      </c>
      <c r="E62" s="2">
        <f>VLOOKUP(C62,ProductList!A:C,3,0)</f>
        <v>55000</v>
      </c>
      <c r="F62" s="2">
        <f>VLOOKUP(C62,ProductList!A:G,7,0)</f>
        <v>55000</v>
      </c>
      <c r="G62" s="2">
        <f t="shared" si="0"/>
        <v>660000</v>
      </c>
      <c r="H62">
        <v>27</v>
      </c>
      <c r="I62" s="2" t="str">
        <f>VLOOKUP(H62,User!A:D,4,0)</f>
        <v>김정희</v>
      </c>
      <c r="J62">
        <v>5</v>
      </c>
      <c r="K62">
        <v>2</v>
      </c>
      <c r="L62">
        <v>0</v>
      </c>
      <c r="M62">
        <v>5</v>
      </c>
    </row>
    <row r="63" spans="1:13">
      <c r="A63">
        <v>62</v>
      </c>
      <c r="B63" s="1">
        <v>45523</v>
      </c>
      <c r="C63">
        <v>11</v>
      </c>
      <c r="D63" s="2" t="str">
        <f>VLOOKUP(C63,ProductList!A:B,2,0)</f>
        <v>BEARS BASKETBALL DIET HOODIE GRAY</v>
      </c>
      <c r="E63" s="2">
        <f>VLOOKUP(C63,ProductList!A:C,3,0)</f>
        <v>10000</v>
      </c>
      <c r="F63" s="2">
        <f>VLOOKUP(C63,ProductList!A:G,7,0)</f>
        <v>10000</v>
      </c>
      <c r="G63" s="2">
        <f t="shared" si="0"/>
        <v>110000</v>
      </c>
      <c r="H63">
        <v>27</v>
      </c>
      <c r="I63" s="2" t="str">
        <f>VLOOKUP(H63,User!A:D,4,0)</f>
        <v>김정희</v>
      </c>
      <c r="J63">
        <v>3</v>
      </c>
      <c r="K63">
        <v>1</v>
      </c>
      <c r="L63">
        <v>2</v>
      </c>
      <c r="M63">
        <v>5</v>
      </c>
    </row>
    <row r="64" spans="1:13">
      <c r="A64">
        <v>63</v>
      </c>
      <c r="B64" s="1">
        <v>45525</v>
      </c>
      <c r="C64">
        <v>67</v>
      </c>
      <c r="D64" s="2" t="str">
        <f>VLOOKUP(C64,ProductList!A:B,2,0)</f>
        <v>비건 스웨이드 오버핏 미니멀 인시전 스트레이트 집업 자켓</v>
      </c>
      <c r="E64" s="2">
        <f>VLOOKUP(C64,ProductList!A:C,3,0)</f>
        <v>90000</v>
      </c>
      <c r="F64" s="2">
        <f>VLOOKUP(C64,ProductList!A:G,7,0)</f>
        <v>90000</v>
      </c>
      <c r="G64" s="2">
        <f t="shared" si="0"/>
        <v>720000</v>
      </c>
      <c r="H64">
        <v>29</v>
      </c>
      <c r="I64" s="2" t="str">
        <f>VLOOKUP(H64,User!A:D,4,0)</f>
        <v>문민지</v>
      </c>
      <c r="J64">
        <v>0</v>
      </c>
      <c r="K64">
        <v>3</v>
      </c>
      <c r="L64">
        <v>4</v>
      </c>
      <c r="M64">
        <v>1</v>
      </c>
    </row>
    <row r="65" spans="1:13">
      <c r="A65">
        <v>64</v>
      </c>
      <c r="B65" s="1">
        <v>45394</v>
      </c>
      <c r="C65">
        <v>30</v>
      </c>
      <c r="D65" s="2" t="str">
        <f>VLOOKUP(C65,ProductList!A:B,2,0)</f>
        <v>편애깅스-세미 부츠컷 CDTM24A02_7358</v>
      </c>
      <c r="E65" s="2">
        <f>VLOOKUP(C65,ProductList!A:C,3,0)</f>
        <v>30000</v>
      </c>
      <c r="F65" s="2">
        <f>VLOOKUP(C65,ProductList!A:G,7,0)</f>
        <v>30000</v>
      </c>
      <c r="G65" s="2">
        <f t="shared" si="0"/>
        <v>420000</v>
      </c>
      <c r="H65">
        <v>9</v>
      </c>
      <c r="I65" s="2" t="str">
        <f>VLOOKUP(H65,User!A:D,4,0)</f>
        <v>엄지혜</v>
      </c>
      <c r="J65">
        <v>5</v>
      </c>
      <c r="K65">
        <v>2</v>
      </c>
      <c r="L65">
        <v>2</v>
      </c>
      <c r="M65">
        <v>5</v>
      </c>
    </row>
    <row r="66" spans="1:13">
      <c r="A66">
        <v>65</v>
      </c>
      <c r="B66" s="1">
        <v>45504</v>
      </c>
      <c r="C66">
        <v>53</v>
      </c>
      <c r="D66" s="2" t="str">
        <f>VLOOKUP(C66,ProductList!A:B,2,0)</f>
        <v>에리노 에나멜 리본 메리제인 플랫슈즈</v>
      </c>
      <c r="E66" s="2">
        <f>VLOOKUP(C66,ProductList!A:C,3,0)</f>
        <v>75000</v>
      </c>
      <c r="F66" s="2">
        <f>VLOOKUP(C66,ProductList!A:G,7,0)</f>
        <v>75000</v>
      </c>
      <c r="G66" s="2">
        <f t="shared" si="0"/>
        <v>525000</v>
      </c>
      <c r="H66">
        <v>4</v>
      </c>
      <c r="I66" s="2" t="str">
        <f>VLOOKUP(H66,User!A:D,4,0)</f>
        <v>윤예지</v>
      </c>
      <c r="J66">
        <v>3</v>
      </c>
      <c r="K66">
        <v>0</v>
      </c>
      <c r="L66">
        <v>2</v>
      </c>
      <c r="M66">
        <v>2</v>
      </c>
    </row>
    <row r="67" spans="1:13">
      <c r="A67">
        <v>66</v>
      </c>
      <c r="B67" s="1">
        <v>45589</v>
      </c>
      <c r="C67">
        <v>20</v>
      </c>
      <c r="D67" s="2" t="str">
        <f>VLOOKUP(C67,ProductList!A:B,2,0)</f>
        <v>MOT SERIES TEE</v>
      </c>
      <c r="E67" s="2">
        <f>VLOOKUP(C67,ProductList!A:C,3,0)</f>
        <v>65000</v>
      </c>
      <c r="F67" s="2">
        <f>VLOOKUP(C67,ProductList!A:G,7,0)</f>
        <v>65000</v>
      </c>
      <c r="G67" s="2">
        <f t="shared" ref="G67:G101" si="1">SUM(J67:M67)*F67</f>
        <v>780000</v>
      </c>
      <c r="H67">
        <v>12</v>
      </c>
      <c r="I67" s="2" t="str">
        <f>VLOOKUP(H67,User!A:D,4,0)</f>
        <v>이상현</v>
      </c>
      <c r="J67">
        <v>3</v>
      </c>
      <c r="K67">
        <v>4</v>
      </c>
      <c r="L67">
        <v>2</v>
      </c>
      <c r="M67">
        <v>3</v>
      </c>
    </row>
    <row r="68" spans="1:13">
      <c r="A68">
        <v>67</v>
      </c>
      <c r="B68" s="1">
        <v>45422</v>
      </c>
      <c r="C68">
        <v>50</v>
      </c>
      <c r="D68" s="2" t="str">
        <f>VLOOKUP(C68,ProductList!A:B,2,0)</f>
        <v>스틸레토 더블 리본장식 슬링백 412412002</v>
      </c>
      <c r="E68" s="2">
        <f>VLOOKUP(C68,ProductList!A:C,3,0)</f>
        <v>35000</v>
      </c>
      <c r="F68" s="2">
        <f>VLOOKUP(C68,ProductList!A:G,7,0)</f>
        <v>35000</v>
      </c>
      <c r="G68" s="2">
        <f t="shared" si="1"/>
        <v>595000</v>
      </c>
      <c r="H68">
        <v>25</v>
      </c>
      <c r="I68" s="2" t="str">
        <f>VLOOKUP(H68,User!A:D,4,0)</f>
        <v>김영미</v>
      </c>
      <c r="J68">
        <v>5</v>
      </c>
      <c r="K68">
        <v>4</v>
      </c>
      <c r="L68">
        <v>3</v>
      </c>
      <c r="M68">
        <v>5</v>
      </c>
    </row>
    <row r="69" spans="1:13">
      <c r="A69">
        <v>68</v>
      </c>
      <c r="B69" s="1">
        <v>45523</v>
      </c>
      <c r="C69">
        <v>32</v>
      </c>
      <c r="D69" s="2" t="str">
        <f>VLOOKUP(C69,ProductList!A:B,2,0)</f>
        <v>라이즈 업 에어 플러스 바이커 쇼츠 AWSDLG731</v>
      </c>
      <c r="E69" s="2">
        <f>VLOOKUP(C69,ProductList!A:C,3,0)</f>
        <v>85000</v>
      </c>
      <c r="F69" s="2">
        <f>VLOOKUP(C69,ProductList!A:G,7,0)</f>
        <v>85000</v>
      </c>
      <c r="G69" s="2">
        <f t="shared" si="1"/>
        <v>1020000</v>
      </c>
      <c r="H69">
        <v>1</v>
      </c>
      <c r="I69" s="2" t="str">
        <f>VLOOKUP(H69,User!A:D,4,0)</f>
        <v>손준서</v>
      </c>
      <c r="J69">
        <v>5</v>
      </c>
      <c r="K69">
        <v>4</v>
      </c>
      <c r="L69">
        <v>0</v>
      </c>
      <c r="M69">
        <v>3</v>
      </c>
    </row>
    <row r="70" spans="1:13">
      <c r="A70">
        <v>69</v>
      </c>
      <c r="B70" s="1">
        <v>45648</v>
      </c>
      <c r="C70">
        <v>72</v>
      </c>
      <c r="D70" s="2" t="str">
        <f>VLOOKUP(C70,ProductList!A:B,2,0)</f>
        <v>VEGAN LEATHER THYNSULATE PADDING_CREAM</v>
      </c>
      <c r="E70" s="2">
        <f>VLOOKUP(C70,ProductList!A:C,3,0)</f>
        <v>5000</v>
      </c>
      <c r="F70" s="2">
        <f>VLOOKUP(C70,ProductList!A:G,7,0)</f>
        <v>4000</v>
      </c>
      <c r="G70" s="2">
        <f t="shared" si="1"/>
        <v>32000</v>
      </c>
      <c r="H70">
        <v>28</v>
      </c>
      <c r="I70" s="2" t="str">
        <f>VLOOKUP(H70,User!A:D,4,0)</f>
        <v>류진우</v>
      </c>
      <c r="J70">
        <v>0</v>
      </c>
      <c r="K70">
        <v>0</v>
      </c>
      <c r="L70">
        <v>5</v>
      </c>
      <c r="M70">
        <v>3</v>
      </c>
    </row>
    <row r="71" spans="1:13">
      <c r="A71">
        <v>70</v>
      </c>
      <c r="B71" s="1">
        <v>45449</v>
      </c>
      <c r="C71">
        <v>67</v>
      </c>
      <c r="D71" s="2" t="str">
        <f>VLOOKUP(C71,ProductList!A:B,2,0)</f>
        <v>비건 스웨이드 오버핏 미니멀 인시전 스트레이트 집업 자켓</v>
      </c>
      <c r="E71" s="2">
        <f>VLOOKUP(C71,ProductList!A:C,3,0)</f>
        <v>90000</v>
      </c>
      <c r="F71" s="2">
        <f>VLOOKUP(C71,ProductList!A:G,7,0)</f>
        <v>90000</v>
      </c>
      <c r="G71" s="2">
        <f t="shared" si="1"/>
        <v>360000</v>
      </c>
      <c r="H71">
        <v>8</v>
      </c>
      <c r="I71" s="2" t="str">
        <f>VLOOKUP(H71,User!A:D,4,0)</f>
        <v>이수민</v>
      </c>
      <c r="J71">
        <v>1</v>
      </c>
      <c r="K71">
        <v>0</v>
      </c>
      <c r="L71">
        <v>1</v>
      </c>
      <c r="M71">
        <v>2</v>
      </c>
    </row>
    <row r="72" spans="1:13">
      <c r="A72">
        <v>71</v>
      </c>
      <c r="B72" s="1">
        <v>45362</v>
      </c>
      <c r="C72">
        <v>52</v>
      </c>
      <c r="D72" s="2" t="str">
        <f>VLOOKUP(C72,ProductList!A:B,2,0)</f>
        <v>볼드 메리제인</v>
      </c>
      <c r="E72" s="2">
        <f>VLOOKUP(C72,ProductList!A:C,3,0)</f>
        <v>65000</v>
      </c>
      <c r="F72" s="2">
        <f>VLOOKUP(C72,ProductList!A:G,7,0)</f>
        <v>65000</v>
      </c>
      <c r="G72" s="2">
        <f t="shared" si="1"/>
        <v>845000</v>
      </c>
      <c r="H72">
        <v>19</v>
      </c>
      <c r="I72" s="2" t="str">
        <f>VLOOKUP(H72,User!A:D,4,0)</f>
        <v>박정수</v>
      </c>
      <c r="J72">
        <v>5</v>
      </c>
      <c r="K72">
        <v>5</v>
      </c>
      <c r="L72">
        <v>1</v>
      </c>
      <c r="M72">
        <v>2</v>
      </c>
    </row>
    <row r="73" spans="1:13">
      <c r="A73">
        <v>72</v>
      </c>
      <c r="B73" s="1">
        <v>45578</v>
      </c>
      <c r="C73">
        <v>72</v>
      </c>
      <c r="D73" s="2" t="str">
        <f>VLOOKUP(C73,ProductList!A:B,2,0)</f>
        <v>VEGAN LEATHER THYNSULATE PADDING_CREAM</v>
      </c>
      <c r="E73" s="2">
        <f>VLOOKUP(C73,ProductList!A:C,3,0)</f>
        <v>5000</v>
      </c>
      <c r="F73" s="2">
        <f>VLOOKUP(C73,ProductList!A:G,7,0)</f>
        <v>4000</v>
      </c>
      <c r="G73" s="2">
        <f t="shared" si="1"/>
        <v>60000</v>
      </c>
      <c r="H73">
        <v>26</v>
      </c>
      <c r="I73" s="2" t="str">
        <f>VLOOKUP(H73,User!A:D,4,0)</f>
        <v>김은지</v>
      </c>
      <c r="J73">
        <v>2</v>
      </c>
      <c r="K73">
        <v>3</v>
      </c>
      <c r="L73">
        <v>5</v>
      </c>
      <c r="M73">
        <v>5</v>
      </c>
    </row>
    <row r="74" spans="1:13">
      <c r="A74">
        <v>73</v>
      </c>
      <c r="B74" s="1">
        <v>45557</v>
      </c>
      <c r="C74">
        <v>1</v>
      </c>
      <c r="D74" s="2" t="str">
        <f>VLOOKUP(C74,ProductList!A:B,2,0)</f>
        <v>린넨 스카시 니트 셔츠 BLACK</v>
      </c>
      <c r="E74" s="2">
        <f>VLOOKUP(C74,ProductList!A:C,3,0)</f>
        <v>100000</v>
      </c>
      <c r="F74" s="2">
        <f>VLOOKUP(C74,ProductList!A:G,7,0)</f>
        <v>100000</v>
      </c>
      <c r="G74" s="2">
        <f t="shared" si="1"/>
        <v>1100000</v>
      </c>
      <c r="H74">
        <v>2</v>
      </c>
      <c r="I74" s="2" t="str">
        <f>VLOOKUP(H74,User!A:D,4,0)</f>
        <v>이예은</v>
      </c>
      <c r="J74">
        <v>4</v>
      </c>
      <c r="K74">
        <v>4</v>
      </c>
      <c r="L74">
        <v>3</v>
      </c>
      <c r="M74">
        <v>0</v>
      </c>
    </row>
    <row r="75" spans="1:13">
      <c r="A75">
        <v>74</v>
      </c>
      <c r="B75" s="1">
        <v>45495</v>
      </c>
      <c r="C75">
        <v>41</v>
      </c>
      <c r="D75" s="2" t="str">
        <f>VLOOKUP(C75,ProductList!A:B,2,0)</f>
        <v>베이직 티셔츠</v>
      </c>
      <c r="E75" s="2">
        <f>VLOOKUP(C75,ProductList!A:C,3,0)</f>
        <v>85000</v>
      </c>
      <c r="F75" s="2">
        <f>VLOOKUP(C75,ProductList!A:G,7,0)</f>
        <v>85000</v>
      </c>
      <c r="G75" s="2">
        <f t="shared" si="1"/>
        <v>680000</v>
      </c>
      <c r="H75">
        <v>20</v>
      </c>
      <c r="I75" s="2" t="str">
        <f>VLOOKUP(H75,User!A:D,4,0)</f>
        <v>이현준</v>
      </c>
      <c r="J75">
        <v>3</v>
      </c>
      <c r="K75">
        <v>3</v>
      </c>
      <c r="L75">
        <v>1</v>
      </c>
      <c r="M75">
        <v>1</v>
      </c>
    </row>
    <row r="76" spans="1:13">
      <c r="A76">
        <v>75</v>
      </c>
      <c r="B76" s="1">
        <v>45450</v>
      </c>
      <c r="C76">
        <v>68</v>
      </c>
      <c r="D76" s="2" t="str">
        <f>VLOOKUP(C76,ProductList!A:B,2,0)</f>
        <v>LIGHT RELAX FIT BLOUSON IVORY</v>
      </c>
      <c r="E76" s="2">
        <f>VLOOKUP(C76,ProductList!A:C,3,0)</f>
        <v>30000</v>
      </c>
      <c r="F76" s="2">
        <f>VLOOKUP(C76,ProductList!A:G,7,0)</f>
        <v>30000</v>
      </c>
      <c r="G76" s="2">
        <f t="shared" si="1"/>
        <v>120000</v>
      </c>
      <c r="H76">
        <v>7</v>
      </c>
      <c r="I76" s="2" t="str">
        <f>VLOOKUP(H76,User!A:D,4,0)</f>
        <v>박영호</v>
      </c>
      <c r="J76">
        <v>3</v>
      </c>
      <c r="K76">
        <v>1</v>
      </c>
      <c r="L76">
        <v>0</v>
      </c>
      <c r="M76">
        <v>0</v>
      </c>
    </row>
    <row r="77" spans="1:13">
      <c r="A77">
        <v>76</v>
      </c>
      <c r="B77" s="1">
        <v>45621</v>
      </c>
      <c r="C77">
        <v>26</v>
      </c>
      <c r="D77" s="2" t="str">
        <f>VLOOKUP(C77,ProductList!A:B,2,0)</f>
        <v>LINEN CHINO PANTS CHARCOAL</v>
      </c>
      <c r="E77" s="2">
        <f>VLOOKUP(C77,ProductList!A:C,3,0)</f>
        <v>95000</v>
      </c>
      <c r="F77" s="2">
        <f>VLOOKUP(C77,ProductList!A:G,7,0)</f>
        <v>95000</v>
      </c>
      <c r="G77" s="2">
        <f t="shared" si="1"/>
        <v>760000</v>
      </c>
      <c r="H77">
        <v>29</v>
      </c>
      <c r="I77" s="2" t="str">
        <f>VLOOKUP(H77,User!A:D,4,0)</f>
        <v>문민지</v>
      </c>
      <c r="J77">
        <v>0</v>
      </c>
      <c r="K77">
        <v>3</v>
      </c>
      <c r="L77">
        <v>5</v>
      </c>
      <c r="M77">
        <v>0</v>
      </c>
    </row>
    <row r="78" spans="1:13">
      <c r="A78">
        <v>77</v>
      </c>
      <c r="B78" s="1">
        <v>45445</v>
      </c>
      <c r="C78">
        <v>28</v>
      </c>
      <c r="D78" s="2" t="str">
        <f>VLOOKUP(C78,ProductList!A:B,2,0)</f>
        <v>코튼 밴딩 와이드 팬츠 (BEIGE)</v>
      </c>
      <c r="E78" s="2">
        <f>VLOOKUP(C78,ProductList!A:C,3,0)</f>
        <v>80000</v>
      </c>
      <c r="F78" s="2">
        <f>VLOOKUP(C78,ProductList!A:G,7,0)</f>
        <v>80000</v>
      </c>
      <c r="G78" s="2">
        <f t="shared" si="1"/>
        <v>1040000</v>
      </c>
      <c r="H78">
        <v>13</v>
      </c>
      <c r="I78" s="2" t="str">
        <f>VLOOKUP(H78,User!A:D,4,0)</f>
        <v>이현정</v>
      </c>
      <c r="J78">
        <v>3</v>
      </c>
      <c r="K78">
        <v>4</v>
      </c>
      <c r="L78">
        <v>3</v>
      </c>
      <c r="M78">
        <v>3</v>
      </c>
    </row>
    <row r="79" spans="1:13">
      <c r="A79">
        <v>78</v>
      </c>
      <c r="B79" s="1">
        <v>45435</v>
      </c>
      <c r="C79">
        <v>57</v>
      </c>
      <c r="D79" s="2" t="str">
        <f>VLOOKUP(C79,ProductList!A:B,2,0)</f>
        <v>아리조나 블랙</v>
      </c>
      <c r="E79" s="2">
        <f>VLOOKUP(C79,ProductList!A:C,3,0)</f>
        <v>70000</v>
      </c>
      <c r="F79" s="2">
        <f>VLOOKUP(C79,ProductList!A:G,7,0)</f>
        <v>70000</v>
      </c>
      <c r="G79" s="2">
        <f t="shared" si="1"/>
        <v>560000</v>
      </c>
      <c r="H79">
        <v>2</v>
      </c>
      <c r="I79" s="2" t="str">
        <f>VLOOKUP(H79,User!A:D,4,0)</f>
        <v>이예은</v>
      </c>
      <c r="J79">
        <v>5</v>
      </c>
      <c r="K79">
        <v>0</v>
      </c>
      <c r="L79">
        <v>1</v>
      </c>
      <c r="M79">
        <v>2</v>
      </c>
    </row>
    <row r="80" spans="1:13">
      <c r="A80">
        <v>79</v>
      </c>
      <c r="B80" s="1">
        <v>45541</v>
      </c>
      <c r="C80">
        <v>4</v>
      </c>
      <c r="D80" s="2" t="str">
        <f>VLOOKUP(C80,ProductList!A:B,2,0)</f>
        <v>HARD TWIST COMFORT POLO KNIT [IVORY]</v>
      </c>
      <c r="E80" s="2">
        <f>VLOOKUP(C80,ProductList!A:C,3,0)</f>
        <v>15000</v>
      </c>
      <c r="F80" s="2">
        <f>VLOOKUP(C80,ProductList!A:G,7,0)</f>
        <v>15000</v>
      </c>
      <c r="G80" s="2">
        <f t="shared" si="1"/>
        <v>105000</v>
      </c>
      <c r="H80">
        <v>21</v>
      </c>
      <c r="I80" s="2" t="str">
        <f>VLOOKUP(H80,User!A:D,4,0)</f>
        <v>김현정</v>
      </c>
      <c r="J80">
        <v>3</v>
      </c>
      <c r="K80">
        <v>1</v>
      </c>
      <c r="L80">
        <v>0</v>
      </c>
      <c r="M80">
        <v>3</v>
      </c>
    </row>
    <row r="81" spans="1:13">
      <c r="A81">
        <v>80</v>
      </c>
      <c r="B81" s="1">
        <v>45645</v>
      </c>
      <c r="C81">
        <v>1</v>
      </c>
      <c r="D81" s="2" t="str">
        <f>VLOOKUP(C81,ProductList!A:B,2,0)</f>
        <v>린넨 스카시 니트 셔츠 BLACK</v>
      </c>
      <c r="E81" s="2">
        <f>VLOOKUP(C81,ProductList!A:C,3,0)</f>
        <v>100000</v>
      </c>
      <c r="F81" s="2">
        <f>VLOOKUP(C81,ProductList!A:G,7,0)</f>
        <v>100000</v>
      </c>
      <c r="G81" s="2">
        <f t="shared" si="1"/>
        <v>1600000</v>
      </c>
      <c r="H81">
        <v>19</v>
      </c>
      <c r="I81" s="2" t="str">
        <f>VLOOKUP(H81,User!A:D,4,0)</f>
        <v>박정수</v>
      </c>
      <c r="J81">
        <v>5</v>
      </c>
      <c r="K81">
        <v>2</v>
      </c>
      <c r="L81">
        <v>5</v>
      </c>
      <c r="M81">
        <v>4</v>
      </c>
    </row>
    <row r="82" spans="1:13">
      <c r="A82">
        <v>81</v>
      </c>
      <c r="B82" s="1">
        <v>45293</v>
      </c>
      <c r="C82">
        <v>29</v>
      </c>
      <c r="D82" s="2" t="str">
        <f>VLOOKUP(C82,ProductList!A:B,2,0)</f>
        <v>[2 PACK] 에어플러스 부츠컷 레깅스 AWNELG705</v>
      </c>
      <c r="E82" s="2">
        <f>VLOOKUP(C82,ProductList!A:C,3,0)</f>
        <v>50000</v>
      </c>
      <c r="F82" s="2">
        <f>VLOOKUP(C82,ProductList!A:G,7,0)</f>
        <v>50000</v>
      </c>
      <c r="G82" s="2">
        <f t="shared" si="1"/>
        <v>750000</v>
      </c>
      <c r="H82">
        <v>13</v>
      </c>
      <c r="I82" s="2" t="str">
        <f>VLOOKUP(H82,User!A:D,4,0)</f>
        <v>이현정</v>
      </c>
      <c r="J82">
        <v>3</v>
      </c>
      <c r="K82">
        <v>3</v>
      </c>
      <c r="L82">
        <v>4</v>
      </c>
      <c r="M82">
        <v>5</v>
      </c>
    </row>
    <row r="83" spans="1:13">
      <c r="A83">
        <v>82</v>
      </c>
      <c r="B83" s="1">
        <v>45464</v>
      </c>
      <c r="C83">
        <v>1</v>
      </c>
      <c r="D83" s="2" t="str">
        <f>VLOOKUP(C83,ProductList!A:B,2,0)</f>
        <v>린넨 스카시 니트 셔츠 BLACK</v>
      </c>
      <c r="E83" s="2">
        <f>VLOOKUP(C83,ProductList!A:C,3,0)</f>
        <v>100000</v>
      </c>
      <c r="F83" s="2">
        <f>VLOOKUP(C83,ProductList!A:G,7,0)</f>
        <v>100000</v>
      </c>
      <c r="G83" s="2">
        <f t="shared" si="1"/>
        <v>1000000</v>
      </c>
      <c r="H83">
        <v>23</v>
      </c>
      <c r="I83" s="2" t="str">
        <f>VLOOKUP(H83,User!A:D,4,0)</f>
        <v>전예진</v>
      </c>
      <c r="J83">
        <v>4</v>
      </c>
      <c r="K83">
        <v>0</v>
      </c>
      <c r="L83">
        <v>4</v>
      </c>
      <c r="M83">
        <v>2</v>
      </c>
    </row>
    <row r="84" spans="1:13">
      <c r="A84">
        <v>83</v>
      </c>
      <c r="B84" s="1">
        <v>45535</v>
      </c>
      <c r="C84">
        <v>51</v>
      </c>
      <c r="D84" s="2" t="str">
        <f>VLOOKUP(C84,ProductList!A:B,2,0)</f>
        <v>BRYN VELCRO SNEAKERS(MESH)</v>
      </c>
      <c r="E84" s="2">
        <f>VLOOKUP(C84,ProductList!A:C,3,0)</f>
        <v>90000</v>
      </c>
      <c r="F84" s="2">
        <f>VLOOKUP(C84,ProductList!A:G,7,0)</f>
        <v>40500</v>
      </c>
      <c r="G84" s="2">
        <f t="shared" si="1"/>
        <v>445500</v>
      </c>
      <c r="H84">
        <v>26</v>
      </c>
      <c r="I84" s="2" t="str">
        <f>VLOOKUP(H84,User!A:D,4,0)</f>
        <v>김은지</v>
      </c>
      <c r="J84">
        <v>3</v>
      </c>
      <c r="K84">
        <v>3</v>
      </c>
      <c r="L84">
        <v>0</v>
      </c>
      <c r="M84">
        <v>5</v>
      </c>
    </row>
    <row r="85" spans="1:13">
      <c r="A85">
        <v>84</v>
      </c>
      <c r="B85" s="1">
        <v>45346</v>
      </c>
      <c r="C85">
        <v>17</v>
      </c>
      <c r="D85" s="2" t="str">
        <f>VLOOKUP(C85,ProductList!A:B,2,0)</f>
        <v>[3PACK]퓨어코튼 24수 롱기장 레이어드 반팔</v>
      </c>
      <c r="E85" s="2">
        <f>VLOOKUP(C85,ProductList!A:C,3,0)</f>
        <v>50000</v>
      </c>
      <c r="F85" s="2">
        <f>VLOOKUP(C85,ProductList!A:G,7,0)</f>
        <v>50000</v>
      </c>
      <c r="G85" s="2">
        <f t="shared" si="1"/>
        <v>200000</v>
      </c>
      <c r="H85">
        <v>8</v>
      </c>
      <c r="I85" s="2" t="str">
        <f>VLOOKUP(H85,User!A:D,4,0)</f>
        <v>이수민</v>
      </c>
      <c r="J85">
        <v>1</v>
      </c>
      <c r="K85">
        <v>1</v>
      </c>
      <c r="L85">
        <v>0</v>
      </c>
      <c r="M85">
        <v>2</v>
      </c>
    </row>
    <row r="86" spans="1:13">
      <c r="A86">
        <v>85</v>
      </c>
      <c r="B86" s="1">
        <v>45549</v>
      </c>
      <c r="C86">
        <v>18</v>
      </c>
      <c r="D86" s="2" t="str">
        <f>VLOOKUP(C86,ProductList!A:B,2,0)</f>
        <v>넘버 크랙 티 레드</v>
      </c>
      <c r="E86" s="2">
        <f>VLOOKUP(C86,ProductList!A:C,3,0)</f>
        <v>5000</v>
      </c>
      <c r="F86" s="2">
        <f>VLOOKUP(C86,ProductList!A:G,7,0)</f>
        <v>3500</v>
      </c>
      <c r="G86" s="2">
        <f t="shared" si="1"/>
        <v>24500</v>
      </c>
      <c r="H86">
        <v>24</v>
      </c>
      <c r="I86" s="2" t="str">
        <f>VLOOKUP(H86,User!A:D,4,0)</f>
        <v>박은정</v>
      </c>
      <c r="J86">
        <v>3</v>
      </c>
      <c r="K86">
        <v>3</v>
      </c>
      <c r="L86">
        <v>0</v>
      </c>
      <c r="M86">
        <v>1</v>
      </c>
    </row>
    <row r="87" spans="1:13">
      <c r="A87">
        <v>86</v>
      </c>
      <c r="B87" s="1">
        <v>45568</v>
      </c>
      <c r="C87">
        <v>48</v>
      </c>
      <c r="D87" s="2" t="str">
        <f>VLOOKUP(C87,ProductList!A:B,2,0)</f>
        <v>ljh7043 Platform maryjane loafer _ 2colors</v>
      </c>
      <c r="E87" s="2">
        <f>VLOOKUP(C87,ProductList!A:C,3,0)</f>
        <v>55000</v>
      </c>
      <c r="F87" s="2">
        <f>VLOOKUP(C87,ProductList!A:G,7,0)</f>
        <v>55000</v>
      </c>
      <c r="G87" s="2">
        <f t="shared" si="1"/>
        <v>275000</v>
      </c>
      <c r="H87">
        <v>11</v>
      </c>
      <c r="I87" s="2" t="str">
        <f>VLOOKUP(H87,User!A:D,4,0)</f>
        <v>고우진</v>
      </c>
      <c r="J87">
        <v>2</v>
      </c>
      <c r="K87">
        <v>1</v>
      </c>
      <c r="L87">
        <v>2</v>
      </c>
      <c r="M87">
        <v>0</v>
      </c>
    </row>
    <row r="88" spans="1:13">
      <c r="A88">
        <v>87</v>
      </c>
      <c r="B88" s="1">
        <v>45442</v>
      </c>
      <c r="C88">
        <v>51</v>
      </c>
      <c r="D88" s="2" t="str">
        <f>VLOOKUP(C88,ProductList!A:B,2,0)</f>
        <v>BRYN VELCRO SNEAKERS(MESH)</v>
      </c>
      <c r="E88" s="2">
        <f>VLOOKUP(C88,ProductList!A:C,3,0)</f>
        <v>90000</v>
      </c>
      <c r="F88" s="2">
        <f>VLOOKUP(C88,ProductList!A:G,7,0)</f>
        <v>40500</v>
      </c>
      <c r="G88" s="2">
        <f t="shared" si="1"/>
        <v>526500</v>
      </c>
      <c r="H88">
        <v>5</v>
      </c>
      <c r="I88" s="2" t="str">
        <f>VLOOKUP(H88,User!A:D,4,0)</f>
        <v>박동현</v>
      </c>
      <c r="J88">
        <v>2</v>
      </c>
      <c r="K88">
        <v>4</v>
      </c>
      <c r="L88">
        <v>3</v>
      </c>
      <c r="M88">
        <v>4</v>
      </c>
    </row>
    <row r="89" spans="1:13">
      <c r="A89">
        <v>88</v>
      </c>
      <c r="B89" s="1">
        <v>45411</v>
      </c>
      <c r="C89">
        <v>11</v>
      </c>
      <c r="D89" s="2" t="str">
        <f>VLOOKUP(C89,ProductList!A:B,2,0)</f>
        <v>BEARS BASKETBALL DIET HOODIE GRAY</v>
      </c>
      <c r="E89" s="2">
        <f>VLOOKUP(C89,ProductList!A:C,3,0)</f>
        <v>10000</v>
      </c>
      <c r="F89" s="2">
        <f>VLOOKUP(C89,ProductList!A:G,7,0)</f>
        <v>10000</v>
      </c>
      <c r="G89" s="2">
        <f t="shared" si="1"/>
        <v>110000</v>
      </c>
      <c r="H89">
        <v>5</v>
      </c>
      <c r="I89" s="2" t="str">
        <f>VLOOKUP(H89,User!A:D,4,0)</f>
        <v>박동현</v>
      </c>
      <c r="J89">
        <v>0</v>
      </c>
      <c r="K89">
        <v>1</v>
      </c>
      <c r="L89">
        <v>5</v>
      </c>
      <c r="M89">
        <v>5</v>
      </c>
    </row>
    <row r="90" spans="1:13">
      <c r="A90">
        <v>89</v>
      </c>
      <c r="B90" s="1">
        <v>45359</v>
      </c>
      <c r="C90">
        <v>25</v>
      </c>
      <c r="D90" s="2" t="str">
        <f>VLOOKUP(C90,ProductList!A:B,2,0)</f>
        <v>CORDUROY CARGO PARACHUTE PANTS</v>
      </c>
      <c r="E90" s="2">
        <f>VLOOKUP(C90,ProductList!A:C,3,0)</f>
        <v>90000</v>
      </c>
      <c r="F90" s="2">
        <f>VLOOKUP(C90,ProductList!A:G,7,0)</f>
        <v>81000</v>
      </c>
      <c r="G90" s="2">
        <f t="shared" si="1"/>
        <v>810000</v>
      </c>
      <c r="H90">
        <v>13</v>
      </c>
      <c r="I90" s="2" t="str">
        <f>VLOOKUP(H90,User!A:D,4,0)</f>
        <v>이현정</v>
      </c>
      <c r="J90">
        <v>0</v>
      </c>
      <c r="K90">
        <v>2</v>
      </c>
      <c r="L90">
        <v>4</v>
      </c>
      <c r="M90">
        <v>4</v>
      </c>
    </row>
    <row r="91" spans="1:13">
      <c r="A91">
        <v>90</v>
      </c>
      <c r="B91" s="1">
        <v>45521</v>
      </c>
      <c r="C91">
        <v>33</v>
      </c>
      <c r="D91" s="2" t="str">
        <f>VLOOKUP(C91,ProductList!A:B,2,0)</f>
        <v>뉴비긴 트레이닝 조거팬츠_블랙 트레이닝</v>
      </c>
      <c r="E91" s="2">
        <f>VLOOKUP(C91,ProductList!A:C,3,0)</f>
        <v>80000</v>
      </c>
      <c r="F91" s="2">
        <f>VLOOKUP(C91,ProductList!A:G,7,0)</f>
        <v>48000</v>
      </c>
      <c r="G91" s="2">
        <f t="shared" si="1"/>
        <v>624000</v>
      </c>
      <c r="H91">
        <v>21</v>
      </c>
      <c r="I91" s="2" t="str">
        <f>VLOOKUP(H91,User!A:D,4,0)</f>
        <v>김현정</v>
      </c>
      <c r="J91">
        <v>5</v>
      </c>
      <c r="K91">
        <v>2</v>
      </c>
      <c r="L91">
        <v>3</v>
      </c>
      <c r="M91">
        <v>3</v>
      </c>
    </row>
    <row r="92" spans="1:13">
      <c r="A92">
        <v>91</v>
      </c>
      <c r="B92" s="1">
        <v>45511</v>
      </c>
      <c r="C92">
        <v>22</v>
      </c>
      <c r="D92" s="2" t="str">
        <f>VLOOKUP(C92,ProductList!A:B,2,0)</f>
        <v>BELTED DOBBY SHORTS</v>
      </c>
      <c r="E92" s="2">
        <f>VLOOKUP(C92,ProductList!A:C,3,0)</f>
        <v>5000</v>
      </c>
      <c r="F92" s="2">
        <f>VLOOKUP(C92,ProductList!A:G,7,0)</f>
        <v>5000</v>
      </c>
      <c r="G92" s="2">
        <f t="shared" si="1"/>
        <v>45000</v>
      </c>
      <c r="H92">
        <v>25</v>
      </c>
      <c r="I92" s="2" t="str">
        <f>VLOOKUP(H92,User!A:D,4,0)</f>
        <v>김영미</v>
      </c>
      <c r="J92">
        <v>5</v>
      </c>
      <c r="K92">
        <v>2</v>
      </c>
      <c r="L92">
        <v>0</v>
      </c>
      <c r="M92">
        <v>2</v>
      </c>
    </row>
    <row r="93" spans="1:13">
      <c r="A93">
        <v>92</v>
      </c>
      <c r="B93" s="1">
        <v>45525</v>
      </c>
      <c r="C93">
        <v>14</v>
      </c>
      <c r="D93" s="2" t="str">
        <f>VLOOKUP(C93,ProductList!A:B,2,0)</f>
        <v>입으면 바로 힙스터 LS 티셔츠 [블랙]</v>
      </c>
      <c r="E93" s="2">
        <f>VLOOKUP(C93,ProductList!A:C,3,0)</f>
        <v>75000</v>
      </c>
      <c r="F93" s="2">
        <f>VLOOKUP(C93,ProductList!A:G,7,0)</f>
        <v>75000</v>
      </c>
      <c r="G93" s="2">
        <f t="shared" si="1"/>
        <v>600000</v>
      </c>
      <c r="H93">
        <v>19</v>
      </c>
      <c r="I93" s="2" t="str">
        <f>VLOOKUP(H93,User!A:D,4,0)</f>
        <v>박정수</v>
      </c>
      <c r="J93">
        <v>1</v>
      </c>
      <c r="K93">
        <v>3</v>
      </c>
      <c r="L93">
        <v>0</v>
      </c>
      <c r="M93">
        <v>4</v>
      </c>
    </row>
    <row r="94" spans="1:13">
      <c r="A94">
        <v>93</v>
      </c>
      <c r="B94" s="1">
        <v>45459</v>
      </c>
      <c r="C94">
        <v>1</v>
      </c>
      <c r="D94" s="2" t="str">
        <f>VLOOKUP(C94,ProductList!A:B,2,0)</f>
        <v>린넨 스카시 니트 셔츠 BLACK</v>
      </c>
      <c r="E94" s="2">
        <f>VLOOKUP(C94,ProductList!A:C,3,0)</f>
        <v>100000</v>
      </c>
      <c r="F94" s="2">
        <f>VLOOKUP(C94,ProductList!A:G,7,0)</f>
        <v>100000</v>
      </c>
      <c r="G94" s="2">
        <f t="shared" si="1"/>
        <v>1100000</v>
      </c>
      <c r="H94">
        <v>13</v>
      </c>
      <c r="I94" s="2" t="str">
        <f>VLOOKUP(H94,User!A:D,4,0)</f>
        <v>이현정</v>
      </c>
      <c r="J94">
        <v>3</v>
      </c>
      <c r="K94">
        <v>2</v>
      </c>
      <c r="L94">
        <v>5</v>
      </c>
      <c r="M94">
        <v>1</v>
      </c>
    </row>
    <row r="95" spans="1:13">
      <c r="A95">
        <v>94</v>
      </c>
      <c r="B95" s="1">
        <v>45586</v>
      </c>
      <c r="C95">
        <v>58</v>
      </c>
      <c r="D95" s="2" t="str">
        <f>VLOOKUP(C95,ProductList!A:B,2,0)</f>
        <v>OORIGINAL BLACK - 조리 블랙</v>
      </c>
      <c r="E95" s="2">
        <f>VLOOKUP(C95,ProductList!A:C,3,0)</f>
        <v>20000</v>
      </c>
      <c r="F95" s="2">
        <f>VLOOKUP(C95,ProductList!A:G,7,0)</f>
        <v>20000</v>
      </c>
      <c r="G95" s="2">
        <f t="shared" si="1"/>
        <v>100000</v>
      </c>
      <c r="H95">
        <v>8</v>
      </c>
      <c r="I95" s="2" t="str">
        <f>VLOOKUP(H95,User!A:D,4,0)</f>
        <v>이수민</v>
      </c>
      <c r="J95">
        <v>4</v>
      </c>
      <c r="K95">
        <v>0</v>
      </c>
      <c r="L95">
        <v>0</v>
      </c>
      <c r="M95">
        <v>1</v>
      </c>
    </row>
    <row r="96" spans="1:13">
      <c r="A96">
        <v>95</v>
      </c>
      <c r="B96" s="1">
        <v>45593</v>
      </c>
      <c r="C96">
        <v>57</v>
      </c>
      <c r="D96" s="2" t="str">
        <f>VLOOKUP(C96,ProductList!A:B,2,0)</f>
        <v>아리조나 블랙</v>
      </c>
      <c r="E96" s="2">
        <f>VLOOKUP(C96,ProductList!A:C,3,0)</f>
        <v>70000</v>
      </c>
      <c r="F96" s="2">
        <f>VLOOKUP(C96,ProductList!A:G,7,0)</f>
        <v>70000</v>
      </c>
      <c r="G96" s="2">
        <f t="shared" si="1"/>
        <v>840000</v>
      </c>
      <c r="H96">
        <v>29</v>
      </c>
      <c r="I96" s="2" t="str">
        <f>VLOOKUP(H96,User!A:D,4,0)</f>
        <v>문민지</v>
      </c>
      <c r="J96">
        <v>1</v>
      </c>
      <c r="K96">
        <v>5</v>
      </c>
      <c r="L96">
        <v>4</v>
      </c>
      <c r="M96">
        <v>2</v>
      </c>
    </row>
    <row r="97" spans="1:13">
      <c r="A97">
        <v>96</v>
      </c>
      <c r="B97" s="1">
        <v>45470</v>
      </c>
      <c r="C97">
        <v>24</v>
      </c>
      <c r="D97" s="2" t="str">
        <f>VLOOKUP(C97,ProductList!A:B,2,0)</f>
        <v>ANW Double Jersey Short Pants</v>
      </c>
      <c r="E97" s="2">
        <f>VLOOKUP(C97,ProductList!A:C,3,0)</f>
        <v>30000</v>
      </c>
      <c r="F97" s="2">
        <f>VLOOKUP(C97,ProductList!A:G,7,0)</f>
        <v>30000</v>
      </c>
      <c r="G97" s="2">
        <f t="shared" si="1"/>
        <v>390000</v>
      </c>
      <c r="H97">
        <v>24</v>
      </c>
      <c r="I97" s="2" t="str">
        <f>VLOOKUP(H97,User!A:D,4,0)</f>
        <v>박은정</v>
      </c>
      <c r="J97">
        <v>3</v>
      </c>
      <c r="K97">
        <v>5</v>
      </c>
      <c r="L97">
        <v>4</v>
      </c>
      <c r="M97">
        <v>1</v>
      </c>
    </row>
    <row r="98" spans="1:13">
      <c r="A98">
        <v>97</v>
      </c>
      <c r="B98" s="1">
        <v>45322</v>
      </c>
      <c r="C98">
        <v>2</v>
      </c>
      <c r="D98" s="2" t="str">
        <f>VLOOKUP(C98,ProductList!A:B,2,0)</f>
        <v>(OVERSIZED)HERITAGE DAN PK KNIT IVORY</v>
      </c>
      <c r="E98" s="2">
        <f>VLOOKUP(C98,ProductList!A:C,3,0)</f>
        <v>65000</v>
      </c>
      <c r="F98" s="2">
        <f>VLOOKUP(C98,ProductList!A:G,7,0)</f>
        <v>58500</v>
      </c>
      <c r="G98" s="2">
        <f t="shared" si="1"/>
        <v>585000</v>
      </c>
      <c r="H98">
        <v>9</v>
      </c>
      <c r="I98" s="2" t="str">
        <f>VLOOKUP(H98,User!A:D,4,0)</f>
        <v>엄지혜</v>
      </c>
      <c r="J98">
        <v>5</v>
      </c>
      <c r="K98">
        <v>3</v>
      </c>
      <c r="L98">
        <v>0</v>
      </c>
      <c r="M98">
        <v>2</v>
      </c>
    </row>
    <row r="99" spans="1:13">
      <c r="A99">
        <v>98</v>
      </c>
      <c r="B99" s="1">
        <v>45364</v>
      </c>
      <c r="C99">
        <v>59</v>
      </c>
      <c r="D99" s="2" t="str">
        <f>VLOOKUP(C99,ProductList!A:B,2,0)</f>
        <v>아딜렛 아윤 슬라이드</v>
      </c>
      <c r="E99" s="2">
        <f>VLOOKUP(C99,ProductList!A:C,3,0)</f>
        <v>100000</v>
      </c>
      <c r="F99" s="2">
        <f>VLOOKUP(C99,ProductList!A:G,7,0)</f>
        <v>100000</v>
      </c>
      <c r="G99" s="2">
        <f t="shared" si="1"/>
        <v>1000000</v>
      </c>
      <c r="H99">
        <v>30</v>
      </c>
      <c r="I99" s="2" t="str">
        <f>VLOOKUP(H99,User!A:D,4,0)</f>
        <v>박성민</v>
      </c>
      <c r="J99">
        <v>1</v>
      </c>
      <c r="K99">
        <v>4</v>
      </c>
      <c r="L99">
        <v>5</v>
      </c>
      <c r="M99">
        <v>0</v>
      </c>
    </row>
    <row r="100" spans="1:13">
      <c r="A100">
        <v>99</v>
      </c>
      <c r="B100" s="1">
        <v>45397</v>
      </c>
      <c r="C100">
        <v>8</v>
      </c>
      <c r="D100" s="2" t="str">
        <f>VLOOKUP(C100,ProductList!A:B,2,0)</f>
        <v>더블코튼 피치스킨 오버핏 맨투맨 1992 블랙</v>
      </c>
      <c r="E100" s="2">
        <f>VLOOKUP(C100,ProductList!A:C,3,0)</f>
        <v>100000</v>
      </c>
      <c r="F100" s="2">
        <f>VLOOKUP(C100,ProductList!A:G,7,0)</f>
        <v>95000</v>
      </c>
      <c r="G100" s="2">
        <f t="shared" si="1"/>
        <v>475000</v>
      </c>
      <c r="H100">
        <v>25</v>
      </c>
      <c r="I100" s="2" t="str">
        <f>VLOOKUP(H100,User!A:D,4,0)</f>
        <v>김영미</v>
      </c>
      <c r="J100">
        <v>1</v>
      </c>
      <c r="K100">
        <v>1</v>
      </c>
      <c r="L100">
        <v>1</v>
      </c>
      <c r="M100">
        <v>2</v>
      </c>
    </row>
    <row r="101" spans="1:13">
      <c r="A101">
        <v>100</v>
      </c>
      <c r="B101" s="1">
        <v>45531</v>
      </c>
      <c r="C101">
        <v>39</v>
      </c>
      <c r="D101" s="2" t="str">
        <f>VLOOKUP(C101,ProductList!A:B,2,0)</f>
        <v>클래식 테이퍼드 와이드 원턱 린넨 팬츠_9Color</v>
      </c>
      <c r="E101" s="2">
        <f>VLOOKUP(C101,ProductList!A:C,3,0)</f>
        <v>90000</v>
      </c>
      <c r="F101" s="2">
        <f>VLOOKUP(C101,ProductList!A:G,7,0)</f>
        <v>90000</v>
      </c>
      <c r="G101" s="2">
        <f t="shared" si="1"/>
        <v>1350000</v>
      </c>
      <c r="H101">
        <v>11</v>
      </c>
      <c r="I101" s="2" t="str">
        <f>VLOOKUP(H101,User!A:D,4,0)</f>
        <v>고우진</v>
      </c>
      <c r="J101">
        <v>5</v>
      </c>
      <c r="K101">
        <v>3</v>
      </c>
      <c r="L101">
        <v>4</v>
      </c>
      <c r="M101">
        <v>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301"/>
  <sheetViews>
    <sheetView workbookViewId="0">
      <selection activeCell="D314" sqref="D314"/>
    </sheetView>
  </sheetViews>
  <sheetFormatPr defaultRowHeight="14.5"/>
  <cols>
    <col min="4" max="4" width="15.36328125" style="1" customWidth="1"/>
    <col min="5" max="5" width="18.1796875" customWidth="1"/>
    <col min="7" max="7" width="9.1796875" style="2"/>
    <col min="8" max="8" width="40.36328125" style="2" customWidth="1"/>
    <col min="9" max="9" width="9.1796875" style="2"/>
  </cols>
  <sheetData>
    <row r="1" spans="1:12">
      <c r="A1" t="s">
        <v>0</v>
      </c>
      <c r="B1" t="s">
        <v>1</v>
      </c>
      <c r="C1" t="s">
        <v>374</v>
      </c>
      <c r="D1" s="1" t="s">
        <v>375</v>
      </c>
      <c r="E1" t="s">
        <v>2</v>
      </c>
      <c r="F1" t="s">
        <v>3</v>
      </c>
      <c r="G1" s="2" t="s">
        <v>369</v>
      </c>
      <c r="H1" s="2" t="s">
        <v>357</v>
      </c>
      <c r="I1" s="4">
        <f>AVERAGEIF(G:G,1,F:F)</f>
        <v>2</v>
      </c>
      <c r="L1">
        <f>SUM(F26,F37,F49,F58,F61,F74,F81,F83,F94)/9</f>
        <v>2</v>
      </c>
    </row>
    <row r="2" spans="1:12" hidden="1">
      <c r="A2">
        <v>1</v>
      </c>
      <c r="B2">
        <v>1</v>
      </c>
      <c r="C2" s="2" t="str">
        <f>VLOOKUP(B2,Purchase!A:I,9,0)</f>
        <v>엄지혜</v>
      </c>
      <c r="D2" s="5">
        <f>VLOOKUP(B2,Purchase!A:B,2,0)</f>
        <v>45338</v>
      </c>
      <c r="E2" t="s">
        <v>4</v>
      </c>
      <c r="F2">
        <v>2</v>
      </c>
      <c r="G2" s="2">
        <f>VLOOKUP(B2,Purchase!A:C,3,0)</f>
        <v>55</v>
      </c>
      <c r="H2" s="2" t="str">
        <f>VLOOKUP(G2,ProductList!A:B,2,0)</f>
        <v>스퀘어 토 메리제인 플랫슈즈</v>
      </c>
    </row>
    <row r="3" spans="1:12" hidden="1">
      <c r="A3">
        <v>2</v>
      </c>
      <c r="B3">
        <v>2</v>
      </c>
      <c r="C3" s="2" t="str">
        <f>VLOOKUP(B3,Purchase!A:I,9,0)</f>
        <v>손준서</v>
      </c>
      <c r="D3" s="5">
        <f>VLOOKUP(B3,Purchase!A:B,2,0)</f>
        <v>45494</v>
      </c>
      <c r="E3" t="s">
        <v>4</v>
      </c>
      <c r="F3">
        <v>1</v>
      </c>
      <c r="G3" s="2">
        <f>VLOOKUP(B3,Purchase!A:C,3,0)</f>
        <v>42</v>
      </c>
      <c r="H3" s="2" t="str">
        <f>VLOOKUP(G3,ProductList!A:B,2,0)</f>
        <v>SHOWER - 808</v>
      </c>
    </row>
    <row r="4" spans="1:12" hidden="1">
      <c r="A4">
        <v>3</v>
      </c>
      <c r="B4">
        <v>3</v>
      </c>
      <c r="C4" s="2" t="str">
        <f>VLOOKUP(B4,Purchase!A:I,9,0)</f>
        <v>박성민</v>
      </c>
      <c r="D4" s="5">
        <f>VLOOKUP(B4,Purchase!A:B,2,0)</f>
        <v>45475</v>
      </c>
      <c r="E4" t="s">
        <v>5</v>
      </c>
      <c r="F4">
        <v>1.5</v>
      </c>
      <c r="G4" s="2">
        <f>VLOOKUP(B4,Purchase!A:C,3,0)</f>
        <v>33</v>
      </c>
      <c r="H4" s="2" t="str">
        <f>VLOOKUP(G4,ProductList!A:B,2,0)</f>
        <v>뉴비긴 트레이닝 조거팬츠_블랙 트레이닝</v>
      </c>
    </row>
    <row r="5" spans="1:12" hidden="1">
      <c r="A5">
        <v>4</v>
      </c>
      <c r="B5">
        <v>4</v>
      </c>
      <c r="C5" s="2" t="str">
        <f>VLOOKUP(B5,Purchase!A:I,9,0)</f>
        <v>김은지</v>
      </c>
      <c r="D5" s="5">
        <f>VLOOKUP(B5,Purchase!A:B,2,0)</f>
        <v>45348</v>
      </c>
      <c r="E5" t="s">
        <v>6</v>
      </c>
      <c r="F5">
        <v>2.5</v>
      </c>
      <c r="G5" s="2">
        <f>VLOOKUP(B5,Purchase!A:C,3,0)</f>
        <v>27</v>
      </c>
      <c r="H5" s="2" t="str">
        <f>VLOOKUP(G5,ProductList!A:B,2,0)</f>
        <v>Steady Balloon Snap Pants Black</v>
      </c>
    </row>
    <row r="6" spans="1:12" hidden="1">
      <c r="A6">
        <v>5</v>
      </c>
      <c r="B6">
        <v>5</v>
      </c>
      <c r="C6" s="2" t="str">
        <f>VLOOKUP(B6,Purchase!A:I,9,0)</f>
        <v>박은정</v>
      </c>
      <c r="D6" s="5">
        <f>VLOOKUP(B6,Purchase!A:B,2,0)</f>
        <v>45430</v>
      </c>
      <c r="E6" t="s">
        <v>7</v>
      </c>
      <c r="F6">
        <v>3</v>
      </c>
      <c r="G6" s="2">
        <f>VLOOKUP(B6,Purchase!A:C,3,0)</f>
        <v>50</v>
      </c>
      <c r="H6" s="2" t="str">
        <f>VLOOKUP(G6,ProductList!A:B,2,0)</f>
        <v>스틸레토 더블 리본장식 슬링백 412412002</v>
      </c>
    </row>
    <row r="7" spans="1:12" hidden="1">
      <c r="A7">
        <v>6</v>
      </c>
      <c r="B7">
        <v>6</v>
      </c>
      <c r="C7" s="2" t="str">
        <f>VLOOKUP(B7,Purchase!A:I,9,0)</f>
        <v>박영호</v>
      </c>
      <c r="D7" s="5">
        <f>VLOOKUP(B7,Purchase!A:B,2,0)</f>
        <v>45440</v>
      </c>
      <c r="E7" t="s">
        <v>5</v>
      </c>
      <c r="F7">
        <v>3.5</v>
      </c>
      <c r="G7" s="2">
        <f>VLOOKUP(B7,Purchase!A:C,3,0)</f>
        <v>30</v>
      </c>
      <c r="H7" s="2" t="str">
        <f>VLOOKUP(G7,ProductList!A:B,2,0)</f>
        <v>편애깅스-세미 부츠컷 CDTM24A02_7358</v>
      </c>
    </row>
    <row r="8" spans="1:12" hidden="1">
      <c r="A8">
        <v>7</v>
      </c>
      <c r="B8">
        <v>7</v>
      </c>
      <c r="C8" s="2" t="str">
        <f>VLOOKUP(B8,Purchase!A:I,9,0)</f>
        <v>김현정</v>
      </c>
      <c r="D8" s="5">
        <f>VLOOKUP(B8,Purchase!A:B,2,0)</f>
        <v>45358</v>
      </c>
      <c r="E8" t="s">
        <v>7</v>
      </c>
      <c r="F8">
        <v>4.5</v>
      </c>
      <c r="G8" s="2">
        <f>VLOOKUP(B8,Purchase!A:C,3,0)</f>
        <v>14</v>
      </c>
      <c r="H8" s="2" t="str">
        <f>VLOOKUP(G8,ProductList!A:B,2,0)</f>
        <v>입으면 바로 힙스터 LS 티셔츠 [블랙]</v>
      </c>
    </row>
    <row r="9" spans="1:12" hidden="1">
      <c r="A9">
        <v>8</v>
      </c>
      <c r="B9">
        <v>8</v>
      </c>
      <c r="C9" s="2" t="str">
        <f>VLOOKUP(B9,Purchase!A:I,9,0)</f>
        <v>이예은</v>
      </c>
      <c r="D9" s="5">
        <f>VLOOKUP(B9,Purchase!A:B,2,0)</f>
        <v>45520</v>
      </c>
      <c r="E9" t="s">
        <v>6</v>
      </c>
      <c r="F9">
        <v>5</v>
      </c>
      <c r="G9" s="2">
        <f>VLOOKUP(B9,Purchase!A:C,3,0)</f>
        <v>62</v>
      </c>
      <c r="H9" s="2" t="str">
        <f>VLOOKUP(G9,ProductList!A:B,2,0)</f>
        <v>루즈핏 2-WAY 후드집업</v>
      </c>
    </row>
    <row r="10" spans="1:12" hidden="1">
      <c r="A10">
        <v>9</v>
      </c>
      <c r="B10">
        <v>9</v>
      </c>
      <c r="C10" s="2" t="str">
        <f>VLOOKUP(B10,Purchase!A:I,9,0)</f>
        <v>이수민</v>
      </c>
      <c r="D10" s="5">
        <f>VLOOKUP(B10,Purchase!A:B,2,0)</f>
        <v>45613</v>
      </c>
      <c r="E10" t="s">
        <v>4</v>
      </c>
      <c r="F10">
        <v>1</v>
      </c>
      <c r="G10" s="2">
        <f>VLOOKUP(B10,Purchase!A:C,3,0)</f>
        <v>9</v>
      </c>
      <c r="H10" s="2" t="str">
        <f>VLOOKUP(G10,ProductList!A:B,2,0)</f>
        <v>에센셜 후드 스웻 셔츠 (MELANGE GREY)</v>
      </c>
    </row>
    <row r="11" spans="1:12" hidden="1">
      <c r="A11">
        <v>10</v>
      </c>
      <c r="B11">
        <v>10</v>
      </c>
      <c r="C11" s="2" t="str">
        <f>VLOOKUP(B11,Purchase!A:I,9,0)</f>
        <v>박정수</v>
      </c>
      <c r="D11" s="5">
        <f>VLOOKUP(B11,Purchase!A:B,2,0)</f>
        <v>45532</v>
      </c>
      <c r="E11" t="s">
        <v>8</v>
      </c>
      <c r="F11">
        <v>1.5</v>
      </c>
      <c r="G11" s="2">
        <f>VLOOKUP(B11,Purchase!A:C,3,0)</f>
        <v>73</v>
      </c>
      <c r="H11" s="2" t="str">
        <f>VLOOKUP(G11,ProductList!A:B,2,0)</f>
        <v>데미지 워싱 데님 트러커 자켓 연청</v>
      </c>
    </row>
    <row r="12" spans="1:12" hidden="1">
      <c r="A12">
        <v>11</v>
      </c>
      <c r="B12">
        <v>11</v>
      </c>
      <c r="C12" s="2" t="str">
        <f>VLOOKUP(B12,Purchase!A:I,9,0)</f>
        <v>고우진</v>
      </c>
      <c r="D12" s="5">
        <f>VLOOKUP(B12,Purchase!A:B,2,0)</f>
        <v>45532</v>
      </c>
      <c r="E12" t="s">
        <v>7</v>
      </c>
      <c r="F12">
        <v>2</v>
      </c>
      <c r="G12" s="2">
        <f>VLOOKUP(B12,Purchase!A:C,3,0)</f>
        <v>49</v>
      </c>
      <c r="H12" s="2" t="str">
        <f>VLOOKUP(G12,ProductList!A:B,2,0)</f>
        <v>BRYN VELCRO SNEAKERS - 3color</v>
      </c>
    </row>
    <row r="13" spans="1:12" hidden="1">
      <c r="A13">
        <v>12</v>
      </c>
      <c r="B13">
        <v>12</v>
      </c>
      <c r="C13" s="2" t="str">
        <f>VLOOKUP(B13,Purchase!A:I,9,0)</f>
        <v>김영미</v>
      </c>
      <c r="D13" s="5">
        <f>VLOOKUP(B13,Purchase!A:B,2,0)</f>
        <v>45561</v>
      </c>
      <c r="E13" t="s">
        <v>4</v>
      </c>
      <c r="F13">
        <v>3</v>
      </c>
      <c r="G13" s="2">
        <f>VLOOKUP(B13,Purchase!A:C,3,0)</f>
        <v>7</v>
      </c>
      <c r="H13" s="2" t="str">
        <f>VLOOKUP(G13,ProductList!A:B,2,0)</f>
        <v>시티 빅오버 워크 맨투맨_Black</v>
      </c>
    </row>
    <row r="14" spans="1:12" hidden="1">
      <c r="A14">
        <v>13</v>
      </c>
      <c r="B14">
        <v>13</v>
      </c>
      <c r="C14" s="2" t="str">
        <f>VLOOKUP(B14,Purchase!A:I,9,0)</f>
        <v>손준서</v>
      </c>
      <c r="D14" s="5">
        <f>VLOOKUP(B14,Purchase!A:B,2,0)</f>
        <v>45319</v>
      </c>
      <c r="E14" t="s">
        <v>6</v>
      </c>
      <c r="F14">
        <v>3.5</v>
      </c>
      <c r="G14" s="2">
        <f>VLOOKUP(B14,Purchase!A:C,3,0)</f>
        <v>46</v>
      </c>
      <c r="H14" s="2" t="str">
        <f>VLOOKUP(G14,ProductList!A:B,2,0)</f>
        <v>10008 BK HORSE LOAFERS</v>
      </c>
    </row>
    <row r="15" spans="1:12" hidden="1">
      <c r="A15">
        <v>14</v>
      </c>
      <c r="B15">
        <v>14</v>
      </c>
      <c r="C15" s="2" t="str">
        <f>VLOOKUP(B15,Purchase!A:I,9,0)</f>
        <v>박정수</v>
      </c>
      <c r="D15" s="5">
        <f>VLOOKUP(B15,Purchase!A:B,2,0)</f>
        <v>45476</v>
      </c>
      <c r="E15" t="s">
        <v>6</v>
      </c>
      <c r="F15">
        <v>4</v>
      </c>
      <c r="G15" s="2">
        <f>VLOOKUP(B15,Purchase!A:C,3,0)</f>
        <v>69</v>
      </c>
      <c r="H15" s="2" t="str">
        <f>VLOOKUP(G15,ProductList!A:B,2,0)</f>
        <v>PLMT 아트피셜 자켓(블랙)</v>
      </c>
    </row>
    <row r="16" spans="1:12" hidden="1">
      <c r="A16">
        <v>15</v>
      </c>
      <c r="B16">
        <v>15</v>
      </c>
      <c r="C16" s="2" t="str">
        <f>VLOOKUP(B16,Purchase!A:I,9,0)</f>
        <v>강수빈</v>
      </c>
      <c r="D16" s="5">
        <f>VLOOKUP(B16,Purchase!A:B,2,0)</f>
        <v>45642</v>
      </c>
      <c r="E16" t="s">
        <v>8</v>
      </c>
      <c r="F16">
        <v>5</v>
      </c>
      <c r="G16" s="2">
        <f>VLOOKUP(B16,Purchase!A:C,3,0)</f>
        <v>16</v>
      </c>
      <c r="H16" s="2" t="str">
        <f>VLOOKUP(G16,ProductList!A:B,2,0)</f>
        <v>리즌 트레일 피그먼트 롱 슬리브 크림</v>
      </c>
    </row>
    <row r="17" spans="1:8" hidden="1">
      <c r="A17">
        <v>16</v>
      </c>
      <c r="B17">
        <v>16</v>
      </c>
      <c r="C17" s="2" t="str">
        <f>VLOOKUP(B17,Purchase!A:I,9,0)</f>
        <v>전예진</v>
      </c>
      <c r="D17" s="5">
        <f>VLOOKUP(B17,Purchase!A:B,2,0)</f>
        <v>45549</v>
      </c>
      <c r="E17" t="s">
        <v>6</v>
      </c>
      <c r="F17">
        <v>0</v>
      </c>
      <c r="G17" s="2">
        <f>VLOOKUP(B17,Purchase!A:C,3,0)</f>
        <v>39</v>
      </c>
      <c r="H17" s="2" t="str">
        <f>VLOOKUP(G17,ProductList!A:B,2,0)</f>
        <v>클래식 테이퍼드 와이드 원턱 린넨 팬츠_9Color</v>
      </c>
    </row>
    <row r="18" spans="1:8" hidden="1">
      <c r="A18">
        <v>17</v>
      </c>
      <c r="B18">
        <v>17</v>
      </c>
      <c r="C18" s="2" t="str">
        <f>VLOOKUP(B18,Purchase!A:I,9,0)</f>
        <v>박동현</v>
      </c>
      <c r="D18" s="5">
        <f>VLOOKUP(B18,Purchase!A:B,2,0)</f>
        <v>45597</v>
      </c>
      <c r="E18" t="s">
        <v>8</v>
      </c>
      <c r="F18">
        <v>1</v>
      </c>
      <c r="G18" s="2">
        <f>VLOOKUP(B18,Purchase!A:C,3,0)</f>
        <v>18</v>
      </c>
      <c r="H18" s="2" t="str">
        <f>VLOOKUP(G18,ProductList!A:B,2,0)</f>
        <v>넘버 크랙 티 레드</v>
      </c>
    </row>
    <row r="19" spans="1:8" hidden="1">
      <c r="A19">
        <v>18</v>
      </c>
      <c r="B19">
        <v>18</v>
      </c>
      <c r="C19" s="2" t="str">
        <f>VLOOKUP(B19,Purchase!A:I,9,0)</f>
        <v>전예진</v>
      </c>
      <c r="D19" s="5">
        <f>VLOOKUP(B19,Purchase!A:B,2,0)</f>
        <v>45546</v>
      </c>
      <c r="E19" t="s">
        <v>8</v>
      </c>
      <c r="F19">
        <v>1.5</v>
      </c>
      <c r="G19" s="2">
        <f>VLOOKUP(B19,Purchase!A:C,3,0)</f>
        <v>27</v>
      </c>
      <c r="H19" s="2" t="str">
        <f>VLOOKUP(G19,ProductList!A:B,2,0)</f>
        <v>Steady Balloon Snap Pants Black</v>
      </c>
    </row>
    <row r="20" spans="1:8" hidden="1">
      <c r="A20">
        <v>19</v>
      </c>
      <c r="B20">
        <v>19</v>
      </c>
      <c r="C20" s="2" t="str">
        <f>VLOOKUP(B20,Purchase!A:I,9,0)</f>
        <v>박동현</v>
      </c>
      <c r="D20" s="5">
        <f>VLOOKUP(B20,Purchase!A:B,2,0)</f>
        <v>45510</v>
      </c>
      <c r="E20" t="s">
        <v>8</v>
      </c>
      <c r="F20">
        <v>2</v>
      </c>
      <c r="G20" s="2">
        <f>VLOOKUP(B20,Purchase!A:C,3,0)</f>
        <v>73</v>
      </c>
      <c r="H20" s="2" t="str">
        <f>VLOOKUP(G20,ProductList!A:B,2,0)</f>
        <v>데미지 워싱 데님 트러커 자켓 연청</v>
      </c>
    </row>
    <row r="21" spans="1:8" hidden="1">
      <c r="A21">
        <v>20</v>
      </c>
      <c r="B21">
        <v>20</v>
      </c>
      <c r="C21" s="2" t="str">
        <f>VLOOKUP(B21,Purchase!A:I,9,0)</f>
        <v>이현준</v>
      </c>
      <c r="D21" s="5">
        <f>VLOOKUP(B21,Purchase!A:B,2,0)</f>
        <v>45656</v>
      </c>
      <c r="E21" t="s">
        <v>6</v>
      </c>
      <c r="F21">
        <v>2.5</v>
      </c>
      <c r="G21" s="2">
        <f>VLOOKUP(B21,Purchase!A:C,3,0)</f>
        <v>8</v>
      </c>
      <c r="H21" s="2" t="str">
        <f>VLOOKUP(G21,ProductList!A:B,2,0)</f>
        <v>더블코튼 피치스킨 오버핏 맨투맨 1992 블랙</v>
      </c>
    </row>
    <row r="22" spans="1:8" hidden="1">
      <c r="A22">
        <v>21</v>
      </c>
      <c r="B22">
        <v>21</v>
      </c>
      <c r="C22" s="2" t="str">
        <f>VLOOKUP(B22,Purchase!A:I,9,0)</f>
        <v>이상현</v>
      </c>
      <c r="D22" s="5">
        <f>VLOOKUP(B22,Purchase!A:B,2,0)</f>
        <v>45307</v>
      </c>
      <c r="E22" t="s">
        <v>6</v>
      </c>
      <c r="F22">
        <v>3</v>
      </c>
      <c r="G22" s="2">
        <f>VLOOKUP(B22,Purchase!A:C,3,0)</f>
        <v>65</v>
      </c>
      <c r="H22" s="2" t="str">
        <f>VLOOKUP(G22,ProductList!A:B,2,0)</f>
        <v>카라 블루종 스웨이드 자켓 블랙</v>
      </c>
    </row>
    <row r="23" spans="1:8" hidden="1">
      <c r="A23">
        <v>22</v>
      </c>
      <c r="B23">
        <v>22</v>
      </c>
      <c r="C23" s="2" t="str">
        <f>VLOOKUP(B23,Purchase!A:I,9,0)</f>
        <v>엄지혜</v>
      </c>
      <c r="D23" s="5">
        <f>VLOOKUP(B23,Purchase!A:B,2,0)</f>
        <v>45328</v>
      </c>
      <c r="E23" t="s">
        <v>7</v>
      </c>
      <c r="F23">
        <v>3.5</v>
      </c>
      <c r="G23" s="2">
        <f>VLOOKUP(B23,Purchase!A:C,3,0)</f>
        <v>69</v>
      </c>
      <c r="H23" s="2" t="str">
        <f>VLOOKUP(G23,ProductList!A:B,2,0)</f>
        <v>PLMT 아트피셜 자켓(블랙)</v>
      </c>
    </row>
    <row r="24" spans="1:8" hidden="1">
      <c r="A24">
        <v>23</v>
      </c>
      <c r="B24">
        <v>23</v>
      </c>
      <c r="C24" s="2" t="str">
        <f>VLOOKUP(B24,Purchase!A:I,9,0)</f>
        <v>김현정</v>
      </c>
      <c r="D24" s="5">
        <f>VLOOKUP(B24,Purchase!A:B,2,0)</f>
        <v>45623</v>
      </c>
      <c r="E24" t="s">
        <v>6</v>
      </c>
      <c r="F24">
        <v>4</v>
      </c>
      <c r="G24" s="2">
        <f>VLOOKUP(B24,Purchase!A:C,3,0)</f>
        <v>44</v>
      </c>
      <c r="H24" s="2" t="str">
        <f>VLOOKUP(G24,ProductList!A:B,2,0)</f>
        <v>GRAINY - 547(a)</v>
      </c>
    </row>
    <row r="25" spans="1:8" hidden="1">
      <c r="A25">
        <v>24</v>
      </c>
      <c r="B25">
        <v>24</v>
      </c>
      <c r="C25" s="2" t="str">
        <f>VLOOKUP(B25,Purchase!A:I,9,0)</f>
        <v>강수빈</v>
      </c>
      <c r="D25" s="5">
        <f>VLOOKUP(B25,Purchase!A:B,2,0)</f>
        <v>45610</v>
      </c>
      <c r="E25" t="s">
        <v>5</v>
      </c>
      <c r="F25">
        <v>4.5</v>
      </c>
      <c r="G25" s="2">
        <f>VLOOKUP(B25,Purchase!A:C,3,0)</f>
        <v>37</v>
      </c>
      <c r="H25" s="2" t="str">
        <f>VLOOKUP(G25,ProductList!A:B,2,0)</f>
        <v>EERSUCKER COMFORT PANTS_CHARCOAL</v>
      </c>
    </row>
    <row r="26" spans="1:8">
      <c r="A26" s="2">
        <v>25</v>
      </c>
      <c r="B26" s="2">
        <v>25</v>
      </c>
      <c r="C26" s="2" t="str">
        <f>VLOOKUP(B26,Purchase!A:I,9,0)</f>
        <v>박동현</v>
      </c>
      <c r="D26" s="5">
        <f>VLOOKUP(B26,Purchase!A:B,2,0)</f>
        <v>45608</v>
      </c>
      <c r="E26" s="2" t="s">
        <v>8</v>
      </c>
      <c r="F26" s="3">
        <v>1</v>
      </c>
      <c r="G26" s="2">
        <f>VLOOKUP(B26,Purchase!A:C,3,0)</f>
        <v>1</v>
      </c>
      <c r="H26" s="2" t="str">
        <f>VLOOKUP(G26,ProductList!A:B,2,0)</f>
        <v>린넨 스카시 니트 셔츠 BLACK</v>
      </c>
    </row>
    <row r="27" spans="1:8" hidden="1">
      <c r="A27">
        <v>26</v>
      </c>
      <c r="B27">
        <v>26</v>
      </c>
      <c r="C27" s="2" t="str">
        <f>VLOOKUP(B27,Purchase!A:I,9,0)</f>
        <v>손현우</v>
      </c>
      <c r="D27" s="5">
        <f>VLOOKUP(B27,Purchase!A:B,2,0)</f>
        <v>45571</v>
      </c>
      <c r="E27" t="s">
        <v>4</v>
      </c>
      <c r="F27">
        <v>1</v>
      </c>
      <c r="G27" s="2">
        <f>VLOOKUP(B27,Purchase!A:C,3,0)</f>
        <v>62</v>
      </c>
      <c r="H27" s="2" t="str">
        <f>VLOOKUP(G27,ProductList!A:B,2,0)</f>
        <v>루즈핏 2-WAY 후드집업</v>
      </c>
    </row>
    <row r="28" spans="1:8" hidden="1">
      <c r="A28">
        <v>27</v>
      </c>
      <c r="B28">
        <v>27</v>
      </c>
      <c r="C28" s="2" t="str">
        <f>VLOOKUP(B28,Purchase!A:I,9,0)</f>
        <v>손준서</v>
      </c>
      <c r="D28" s="5">
        <f>VLOOKUP(B28,Purchase!A:B,2,0)</f>
        <v>45421</v>
      </c>
      <c r="E28" t="s">
        <v>6</v>
      </c>
      <c r="F28">
        <v>1.5</v>
      </c>
      <c r="G28" s="2">
        <f>VLOOKUP(B28,Purchase!A:C,3,0)</f>
        <v>10</v>
      </c>
      <c r="H28" s="2" t="str">
        <f>VLOOKUP(G28,ProductList!A:B,2,0)</f>
        <v>스피드 피그먼트 후드 딥그레이 KMHD6727</v>
      </c>
    </row>
    <row r="29" spans="1:8" hidden="1">
      <c r="A29">
        <v>28</v>
      </c>
      <c r="B29">
        <v>28</v>
      </c>
      <c r="C29" s="2" t="str">
        <f>VLOOKUP(B29,Purchase!A:I,9,0)</f>
        <v>이예은</v>
      </c>
      <c r="D29" s="5">
        <f>VLOOKUP(B29,Purchase!A:B,2,0)</f>
        <v>45511</v>
      </c>
      <c r="E29" t="s">
        <v>4</v>
      </c>
      <c r="F29">
        <v>2</v>
      </c>
      <c r="G29" s="2">
        <f>VLOOKUP(B29,Purchase!A:C,3,0)</f>
        <v>45</v>
      </c>
      <c r="H29" s="2" t="str">
        <f>VLOOKUP(G29,ProductList!A:B,2,0)</f>
        <v>남성용 소가죽 페니로퍼 HS-906_BLACK</v>
      </c>
    </row>
    <row r="30" spans="1:8" hidden="1">
      <c r="A30">
        <v>29</v>
      </c>
      <c r="B30">
        <v>29</v>
      </c>
      <c r="C30" s="2" t="str">
        <f>VLOOKUP(B30,Purchase!A:I,9,0)</f>
        <v>김현정</v>
      </c>
      <c r="D30" s="5">
        <f>VLOOKUP(B30,Purchase!A:B,2,0)</f>
        <v>45378</v>
      </c>
      <c r="E30" t="s">
        <v>6</v>
      </c>
      <c r="F30">
        <v>2.5</v>
      </c>
      <c r="G30" s="2">
        <f>VLOOKUP(B30,Purchase!A:C,3,0)</f>
        <v>10</v>
      </c>
      <c r="H30" s="2" t="str">
        <f>VLOOKUP(G30,ProductList!A:B,2,0)</f>
        <v>스피드 피그먼트 후드 딥그레이 KMHD6727</v>
      </c>
    </row>
    <row r="31" spans="1:8" hidden="1">
      <c r="A31">
        <v>30</v>
      </c>
      <c r="B31">
        <v>30</v>
      </c>
      <c r="C31" s="2" t="str">
        <f>VLOOKUP(B31,Purchase!A:I,9,0)</f>
        <v>이상현</v>
      </c>
      <c r="D31" s="5">
        <f>VLOOKUP(B31,Purchase!A:B,2,0)</f>
        <v>45309</v>
      </c>
      <c r="E31" t="s">
        <v>5</v>
      </c>
      <c r="F31">
        <v>3</v>
      </c>
      <c r="G31" s="2">
        <f>VLOOKUP(B31,Purchase!A:C,3,0)</f>
        <v>61</v>
      </c>
      <c r="H31" s="2" t="str">
        <f>VLOOKUP(G31,ProductList!A:B,2,0)</f>
        <v>루즈핏 2Way 스웨트 후드집업</v>
      </c>
    </row>
    <row r="32" spans="1:8" hidden="1">
      <c r="A32">
        <v>31</v>
      </c>
      <c r="B32">
        <v>31</v>
      </c>
      <c r="C32" s="2" t="str">
        <f>VLOOKUP(B32,Purchase!A:I,9,0)</f>
        <v>이현준</v>
      </c>
      <c r="D32" s="5">
        <f>VLOOKUP(B32,Purchase!A:B,2,0)</f>
        <v>45458</v>
      </c>
      <c r="E32" t="s">
        <v>7</v>
      </c>
      <c r="F32">
        <v>3.5</v>
      </c>
      <c r="G32" s="2">
        <f>VLOOKUP(B32,Purchase!A:C,3,0)</f>
        <v>40</v>
      </c>
      <c r="H32" s="2" t="str">
        <f>VLOOKUP(G32,ProductList!A:B,2,0)</f>
        <v>10007 BK HORSE DERBY</v>
      </c>
    </row>
    <row r="33" spans="1:8" hidden="1">
      <c r="A33">
        <v>32</v>
      </c>
      <c r="B33">
        <v>32</v>
      </c>
      <c r="C33" s="2" t="str">
        <f>VLOOKUP(B33,Purchase!A:I,9,0)</f>
        <v>윤예지</v>
      </c>
      <c r="D33" s="5">
        <f>VLOOKUP(B33,Purchase!A:B,2,0)</f>
        <v>45420</v>
      </c>
      <c r="E33" t="s">
        <v>8</v>
      </c>
      <c r="F33">
        <v>4</v>
      </c>
      <c r="G33" s="2">
        <f>VLOOKUP(B33,Purchase!A:C,3,0)</f>
        <v>72</v>
      </c>
      <c r="H33" s="2" t="str">
        <f>VLOOKUP(G33,ProductList!A:B,2,0)</f>
        <v>VEGAN LEATHER THYNSULATE PADDING_CREAM</v>
      </c>
    </row>
    <row r="34" spans="1:8" hidden="1">
      <c r="A34">
        <v>33</v>
      </c>
      <c r="B34">
        <v>33</v>
      </c>
      <c r="C34" s="2" t="str">
        <f>VLOOKUP(B34,Purchase!A:I,9,0)</f>
        <v>박은정</v>
      </c>
      <c r="D34" s="5">
        <f>VLOOKUP(B34,Purchase!A:B,2,0)</f>
        <v>45362</v>
      </c>
      <c r="E34" t="s">
        <v>4</v>
      </c>
      <c r="F34">
        <v>4.5</v>
      </c>
      <c r="G34" s="2">
        <f>VLOOKUP(B34,Purchase!A:C,3,0)</f>
        <v>47</v>
      </c>
      <c r="H34" s="2" t="str">
        <f>VLOOKUP(G34,ProductList!A:B,2,0)</f>
        <v>마쯔 남성 페니 로퍼 3.5cm LCMD82I111</v>
      </c>
    </row>
    <row r="35" spans="1:8" hidden="1">
      <c r="A35">
        <v>34</v>
      </c>
      <c r="B35">
        <v>34</v>
      </c>
      <c r="C35" s="2" t="str">
        <f>VLOOKUP(B35,Purchase!A:I,9,0)</f>
        <v>박정수</v>
      </c>
      <c r="D35" s="5">
        <f>VLOOKUP(B35,Purchase!A:B,2,0)</f>
        <v>45303</v>
      </c>
      <c r="E35" t="s">
        <v>6</v>
      </c>
      <c r="F35">
        <v>5</v>
      </c>
      <c r="G35" s="2">
        <f>VLOOKUP(B35,Purchase!A:C,3,0)</f>
        <v>11</v>
      </c>
      <c r="H35" s="2" t="str">
        <f>VLOOKUP(G35,ProductList!A:B,2,0)</f>
        <v>BEARS BASKETBALL DIET HOODIE GRAY</v>
      </c>
    </row>
    <row r="36" spans="1:8" hidden="1">
      <c r="A36">
        <v>35</v>
      </c>
      <c r="B36">
        <v>35</v>
      </c>
      <c r="C36" s="2" t="str">
        <f>VLOOKUP(B36,Purchase!A:I,9,0)</f>
        <v>이성민</v>
      </c>
      <c r="D36" s="5">
        <f>VLOOKUP(B36,Purchase!A:B,2,0)</f>
        <v>45613</v>
      </c>
      <c r="E36" t="s">
        <v>8</v>
      </c>
      <c r="F36">
        <v>0</v>
      </c>
      <c r="G36" s="2">
        <f>VLOOKUP(B36,Purchase!A:C,3,0)</f>
        <v>18</v>
      </c>
      <c r="H36" s="2" t="str">
        <f>VLOOKUP(G36,ProductList!A:B,2,0)</f>
        <v>넘버 크랙 티 레드</v>
      </c>
    </row>
    <row r="37" spans="1:8">
      <c r="A37">
        <v>36</v>
      </c>
      <c r="B37">
        <v>36</v>
      </c>
      <c r="C37" s="2" t="str">
        <f>VLOOKUP(B37,Purchase!A:I,9,0)</f>
        <v>이수민</v>
      </c>
      <c r="D37" s="5">
        <f>VLOOKUP(B37,Purchase!A:B,2,0)</f>
        <v>45352</v>
      </c>
      <c r="E37" t="s">
        <v>6</v>
      </c>
      <c r="F37">
        <v>2.5</v>
      </c>
      <c r="G37" s="2">
        <f>VLOOKUP(B37,Purchase!A:C,3,0)</f>
        <v>1</v>
      </c>
      <c r="H37" s="2" t="str">
        <f>VLOOKUP(G37,ProductList!A:B,2,0)</f>
        <v>린넨 스카시 니트 셔츠 BLACK</v>
      </c>
    </row>
    <row r="38" spans="1:8" hidden="1">
      <c r="A38">
        <v>37</v>
      </c>
      <c r="B38">
        <v>37</v>
      </c>
      <c r="C38" s="2" t="str">
        <f>VLOOKUP(B38,Purchase!A:I,9,0)</f>
        <v>류진우</v>
      </c>
      <c r="D38" s="5">
        <f>VLOOKUP(B38,Purchase!A:B,2,0)</f>
        <v>45370</v>
      </c>
      <c r="E38" t="s">
        <v>4</v>
      </c>
      <c r="F38">
        <v>1.5</v>
      </c>
      <c r="G38" s="2">
        <f>VLOOKUP(B38,Purchase!A:C,3,0)</f>
        <v>46</v>
      </c>
      <c r="H38" s="2" t="str">
        <f>VLOOKUP(G38,ProductList!A:B,2,0)</f>
        <v>10008 BK HORSE LOAFERS</v>
      </c>
    </row>
    <row r="39" spans="1:8" hidden="1">
      <c r="A39">
        <v>38</v>
      </c>
      <c r="B39">
        <v>38</v>
      </c>
      <c r="C39" s="2" t="str">
        <f>VLOOKUP(B39,Purchase!A:I,9,0)</f>
        <v>이수민</v>
      </c>
      <c r="D39" s="5">
        <f>VLOOKUP(B39,Purchase!A:B,2,0)</f>
        <v>45518</v>
      </c>
      <c r="E39" t="s">
        <v>7</v>
      </c>
      <c r="F39">
        <v>2</v>
      </c>
      <c r="G39" s="2">
        <f>VLOOKUP(B39,Purchase!A:C,3,0)</f>
        <v>52</v>
      </c>
      <c r="H39" s="2" t="str">
        <f>VLOOKUP(G39,ProductList!A:B,2,0)</f>
        <v>볼드 메리제인</v>
      </c>
    </row>
    <row r="40" spans="1:8" hidden="1">
      <c r="A40">
        <v>39</v>
      </c>
      <c r="B40">
        <v>39</v>
      </c>
      <c r="C40" s="2" t="str">
        <f>VLOOKUP(B40,Purchase!A:I,9,0)</f>
        <v>김정희</v>
      </c>
      <c r="D40" s="5">
        <f>VLOOKUP(B40,Purchase!A:B,2,0)</f>
        <v>45296</v>
      </c>
      <c r="E40" t="s">
        <v>4</v>
      </c>
      <c r="F40">
        <v>2.5</v>
      </c>
      <c r="G40" s="2">
        <f>VLOOKUP(B40,Purchase!A:C,3,0)</f>
        <v>24</v>
      </c>
      <c r="H40" s="2" t="str">
        <f>VLOOKUP(G40,ProductList!A:B,2,0)</f>
        <v>ANW Double Jersey Short Pants</v>
      </c>
    </row>
    <row r="41" spans="1:8" hidden="1">
      <c r="A41">
        <v>40</v>
      </c>
      <c r="B41">
        <v>40</v>
      </c>
      <c r="C41" s="2" t="str">
        <f>VLOOKUP(B41,Purchase!A:I,9,0)</f>
        <v>김현정</v>
      </c>
      <c r="D41" s="5">
        <f>VLOOKUP(B41,Purchase!A:B,2,0)</f>
        <v>45526</v>
      </c>
      <c r="E41" t="s">
        <v>6</v>
      </c>
      <c r="F41">
        <v>3</v>
      </c>
      <c r="G41" s="2">
        <f>VLOOKUP(B41,Purchase!A:C,3,0)</f>
        <v>58</v>
      </c>
      <c r="H41" s="2" t="str">
        <f>VLOOKUP(G41,ProductList!A:B,2,0)</f>
        <v>OORIGINAL BLACK - 조리 블랙</v>
      </c>
    </row>
    <row r="42" spans="1:8" hidden="1">
      <c r="A42">
        <v>41</v>
      </c>
      <c r="B42">
        <v>41</v>
      </c>
      <c r="C42" s="2" t="str">
        <f>VLOOKUP(B42,Purchase!A:I,9,0)</f>
        <v>우정식</v>
      </c>
      <c r="D42" s="5">
        <f>VLOOKUP(B42,Purchase!A:B,2,0)</f>
        <v>45481</v>
      </c>
      <c r="E42" t="s">
        <v>6</v>
      </c>
      <c r="F42">
        <v>3.5</v>
      </c>
      <c r="G42" s="2">
        <f>VLOOKUP(B42,Purchase!A:C,3,0)</f>
        <v>19</v>
      </c>
      <c r="H42" s="2" t="str">
        <f>VLOOKUP(G42,ProductList!A:B,2,0)</f>
        <v>ARMED 23 저지 티셔츠 [블랙]</v>
      </c>
    </row>
    <row r="43" spans="1:8" hidden="1">
      <c r="A43">
        <v>42</v>
      </c>
      <c r="B43">
        <v>42</v>
      </c>
      <c r="C43" s="2" t="str">
        <f>VLOOKUP(B43,Purchase!A:I,9,0)</f>
        <v>박영호</v>
      </c>
      <c r="D43" s="5">
        <f>VLOOKUP(B43,Purchase!A:B,2,0)</f>
        <v>45651</v>
      </c>
      <c r="E43" t="s">
        <v>8</v>
      </c>
      <c r="F43">
        <v>4</v>
      </c>
      <c r="G43" s="2">
        <f>VLOOKUP(B43,Purchase!A:C,3,0)</f>
        <v>17</v>
      </c>
      <c r="H43" s="2" t="str">
        <f>VLOOKUP(G43,ProductList!A:B,2,0)</f>
        <v>[3PACK]퓨어코튼 24수 롱기장 레이어드 반팔</v>
      </c>
    </row>
    <row r="44" spans="1:8" hidden="1">
      <c r="A44">
        <v>43</v>
      </c>
      <c r="B44">
        <v>43</v>
      </c>
      <c r="C44" s="2" t="str">
        <f>VLOOKUP(B44,Purchase!A:I,9,0)</f>
        <v>박성민</v>
      </c>
      <c r="D44" s="5">
        <f>VLOOKUP(B44,Purchase!A:B,2,0)</f>
        <v>45415</v>
      </c>
      <c r="E44" t="s">
        <v>5</v>
      </c>
      <c r="F44">
        <v>4.5</v>
      </c>
      <c r="G44" s="2">
        <f>VLOOKUP(B44,Purchase!A:C,3,0)</f>
        <v>49</v>
      </c>
      <c r="H44" s="2" t="str">
        <f>VLOOKUP(G44,ProductList!A:B,2,0)</f>
        <v>BRYN VELCRO SNEAKERS - 3color</v>
      </c>
    </row>
    <row r="45" spans="1:8" hidden="1">
      <c r="A45">
        <v>44</v>
      </c>
      <c r="B45">
        <v>44</v>
      </c>
      <c r="C45" s="2" t="str">
        <f>VLOOKUP(B45,Purchase!A:I,9,0)</f>
        <v>김영미</v>
      </c>
      <c r="D45" s="5">
        <f>VLOOKUP(B45,Purchase!A:B,2,0)</f>
        <v>45361</v>
      </c>
      <c r="E45" t="s">
        <v>7</v>
      </c>
      <c r="F45">
        <v>5</v>
      </c>
      <c r="G45" s="2">
        <f>VLOOKUP(B45,Purchase!A:C,3,0)</f>
        <v>72</v>
      </c>
      <c r="H45" s="2" t="str">
        <f>VLOOKUP(G45,ProductList!A:B,2,0)</f>
        <v>VEGAN LEATHER THYNSULATE PADDING_CREAM</v>
      </c>
    </row>
    <row r="46" spans="1:8" hidden="1">
      <c r="A46">
        <v>45</v>
      </c>
      <c r="B46">
        <v>45</v>
      </c>
      <c r="C46" s="2" t="str">
        <f>VLOOKUP(B46,Purchase!A:I,9,0)</f>
        <v>김현정</v>
      </c>
      <c r="D46" s="5">
        <f>VLOOKUP(B46,Purchase!A:B,2,0)</f>
        <v>45514</v>
      </c>
      <c r="E46" t="s">
        <v>7</v>
      </c>
      <c r="F46">
        <v>0</v>
      </c>
      <c r="G46" s="2">
        <f>VLOOKUP(B46,Purchase!A:C,3,0)</f>
        <v>21</v>
      </c>
      <c r="H46" s="2" t="str">
        <f>VLOOKUP(G46,ProductList!A:B,2,0)</f>
        <v>버뮤다 데님 숏팬츠(JBTPNT-0014)</v>
      </c>
    </row>
    <row r="47" spans="1:8" hidden="1">
      <c r="A47">
        <v>46</v>
      </c>
      <c r="B47">
        <v>46</v>
      </c>
      <c r="C47" s="2" t="str">
        <f>VLOOKUP(B47,Purchase!A:I,9,0)</f>
        <v>손현우</v>
      </c>
      <c r="D47" s="5">
        <f>VLOOKUP(B47,Purchase!A:B,2,0)</f>
        <v>45358</v>
      </c>
      <c r="E47" t="s">
        <v>8</v>
      </c>
      <c r="F47">
        <v>1</v>
      </c>
      <c r="G47" s="2">
        <f>VLOOKUP(B47,Purchase!A:C,3,0)</f>
        <v>52</v>
      </c>
      <c r="H47" s="2" t="str">
        <f>VLOOKUP(G47,ProductList!A:B,2,0)</f>
        <v>볼드 메리제인</v>
      </c>
    </row>
    <row r="48" spans="1:8" hidden="1">
      <c r="A48">
        <v>47</v>
      </c>
      <c r="B48">
        <v>47</v>
      </c>
      <c r="C48" s="2" t="str">
        <f>VLOOKUP(B48,Purchase!A:I,9,0)</f>
        <v>박성민</v>
      </c>
      <c r="D48" s="5">
        <f>VLOOKUP(B48,Purchase!A:B,2,0)</f>
        <v>45400</v>
      </c>
      <c r="E48" t="s">
        <v>6</v>
      </c>
      <c r="F48">
        <v>1.5</v>
      </c>
      <c r="G48" s="2">
        <f>VLOOKUP(B48,Purchase!A:C,3,0)</f>
        <v>43</v>
      </c>
      <c r="H48" s="2" t="str">
        <f>VLOOKUP(G48,ProductList!A:B,2,0)</f>
        <v>ZERO DERBY 더비 01</v>
      </c>
    </row>
    <row r="49" spans="1:8">
      <c r="A49">
        <v>48</v>
      </c>
      <c r="B49">
        <v>48</v>
      </c>
      <c r="C49" s="2" t="str">
        <f>VLOOKUP(B49,Purchase!A:I,9,0)</f>
        <v>류진우</v>
      </c>
      <c r="D49" s="5">
        <f>VLOOKUP(B49,Purchase!A:B,2,0)</f>
        <v>45654</v>
      </c>
      <c r="E49" t="s">
        <v>8</v>
      </c>
      <c r="F49">
        <v>3</v>
      </c>
      <c r="G49" s="2">
        <f>VLOOKUP(B49,Purchase!A:C,3,0)</f>
        <v>1</v>
      </c>
      <c r="H49" s="2" t="str">
        <f>VLOOKUP(G49,ProductList!A:B,2,0)</f>
        <v>린넨 스카시 니트 셔츠 BLACK</v>
      </c>
    </row>
    <row r="50" spans="1:8" hidden="1">
      <c r="A50">
        <v>49</v>
      </c>
      <c r="B50">
        <v>49</v>
      </c>
      <c r="C50" s="2" t="str">
        <f>VLOOKUP(B50,Purchase!A:I,9,0)</f>
        <v>손준서</v>
      </c>
      <c r="D50" s="5">
        <f>VLOOKUP(B50,Purchase!A:B,2,0)</f>
        <v>45347</v>
      </c>
      <c r="E50" t="s">
        <v>5</v>
      </c>
      <c r="F50">
        <v>2.5</v>
      </c>
      <c r="G50" s="2">
        <f>VLOOKUP(B50,Purchase!A:C,3,0)</f>
        <v>22</v>
      </c>
      <c r="H50" s="2" t="str">
        <f>VLOOKUP(G50,ProductList!A:B,2,0)</f>
        <v>BELTED DOBBY SHORTS</v>
      </c>
    </row>
    <row r="51" spans="1:8" hidden="1">
      <c r="A51">
        <v>50</v>
      </c>
      <c r="B51">
        <v>50</v>
      </c>
      <c r="C51" s="2" t="str">
        <f>VLOOKUP(B51,Purchase!A:I,9,0)</f>
        <v>박정수</v>
      </c>
      <c r="D51" s="5">
        <f>VLOOKUP(B51,Purchase!A:B,2,0)</f>
        <v>45334</v>
      </c>
      <c r="E51" t="s">
        <v>8</v>
      </c>
      <c r="F51">
        <v>3</v>
      </c>
      <c r="G51" s="2">
        <f>VLOOKUP(B51,Purchase!A:C,3,0)</f>
        <v>14</v>
      </c>
      <c r="H51" s="2" t="str">
        <f>VLOOKUP(G51,ProductList!A:B,2,0)</f>
        <v>입으면 바로 힙스터 LS 티셔츠 [블랙]</v>
      </c>
    </row>
    <row r="52" spans="1:8" hidden="1">
      <c r="A52">
        <v>51</v>
      </c>
      <c r="B52">
        <v>51</v>
      </c>
      <c r="C52" s="2" t="str">
        <f>VLOOKUP(B52,Purchase!A:I,9,0)</f>
        <v>박정수</v>
      </c>
      <c r="D52" s="5">
        <f>VLOOKUP(B52,Purchase!A:B,2,0)</f>
        <v>45555</v>
      </c>
      <c r="E52" t="s">
        <v>6</v>
      </c>
      <c r="F52">
        <v>3.5</v>
      </c>
      <c r="G52" s="2">
        <f>VLOOKUP(B52,Purchase!A:C,3,0)</f>
        <v>64</v>
      </c>
      <c r="H52" s="2" t="str">
        <f>VLOOKUP(G52,ProductList!A:B,2,0)</f>
        <v>포시즌 에센셜 피그먼트 후드집업</v>
      </c>
    </row>
    <row r="53" spans="1:8" hidden="1">
      <c r="A53">
        <v>52</v>
      </c>
      <c r="B53">
        <v>52</v>
      </c>
      <c r="C53" s="2" t="str">
        <f>VLOOKUP(B53,Purchase!A:I,9,0)</f>
        <v>이현준</v>
      </c>
      <c r="D53" s="5">
        <f>VLOOKUP(B53,Purchase!A:B,2,0)</f>
        <v>45397</v>
      </c>
      <c r="E53" t="s">
        <v>7</v>
      </c>
      <c r="F53">
        <v>4</v>
      </c>
      <c r="G53" s="2">
        <f>VLOOKUP(B53,Purchase!A:C,3,0)</f>
        <v>48</v>
      </c>
      <c r="H53" s="2" t="str">
        <f>VLOOKUP(G53,ProductList!A:B,2,0)</f>
        <v>ljh7043 Platform maryjane loafer _ 2colors</v>
      </c>
    </row>
    <row r="54" spans="1:8" hidden="1">
      <c r="A54">
        <v>53</v>
      </c>
      <c r="B54">
        <v>53</v>
      </c>
      <c r="C54" s="2" t="str">
        <f>VLOOKUP(B54,Purchase!A:I,9,0)</f>
        <v>이상현</v>
      </c>
      <c r="D54" s="5">
        <f>VLOOKUP(B54,Purchase!A:B,2,0)</f>
        <v>45425</v>
      </c>
      <c r="E54" t="s">
        <v>7</v>
      </c>
      <c r="F54">
        <v>4.5</v>
      </c>
      <c r="G54" s="2">
        <f>VLOOKUP(B54,Purchase!A:C,3,0)</f>
        <v>20</v>
      </c>
      <c r="H54" s="2" t="str">
        <f>VLOOKUP(G54,ProductList!A:B,2,0)</f>
        <v>MOT SERIES TEE</v>
      </c>
    </row>
    <row r="55" spans="1:8" hidden="1">
      <c r="A55">
        <v>54</v>
      </c>
      <c r="B55">
        <v>54</v>
      </c>
      <c r="C55" s="2" t="str">
        <f>VLOOKUP(B55,Purchase!A:I,9,0)</f>
        <v>박성민</v>
      </c>
      <c r="D55" s="5">
        <f>VLOOKUP(B55,Purchase!A:B,2,0)</f>
        <v>45360</v>
      </c>
      <c r="E55" t="s">
        <v>7</v>
      </c>
      <c r="F55">
        <v>5</v>
      </c>
      <c r="G55" s="2">
        <f>VLOOKUP(B55,Purchase!A:C,3,0)</f>
        <v>9</v>
      </c>
      <c r="H55" s="2" t="str">
        <f>VLOOKUP(G55,ProductList!A:B,2,0)</f>
        <v>에센셜 후드 스웻 셔츠 (MELANGE GREY)</v>
      </c>
    </row>
    <row r="56" spans="1:8" hidden="1">
      <c r="A56">
        <v>55</v>
      </c>
      <c r="B56">
        <v>55</v>
      </c>
      <c r="C56" s="2" t="str">
        <f>VLOOKUP(B56,Purchase!A:I,9,0)</f>
        <v>엄지혜</v>
      </c>
      <c r="D56" s="5">
        <f>VLOOKUP(B56,Purchase!A:B,2,0)</f>
        <v>45634</v>
      </c>
      <c r="E56" t="s">
        <v>7</v>
      </c>
      <c r="F56">
        <v>0</v>
      </c>
      <c r="G56" s="2">
        <f>VLOOKUP(B56,Purchase!A:C,3,0)</f>
        <v>61</v>
      </c>
      <c r="H56" s="2" t="str">
        <f>VLOOKUP(G56,ProductList!A:B,2,0)</f>
        <v>루즈핏 2Way 스웨트 후드집업</v>
      </c>
    </row>
    <row r="57" spans="1:8" hidden="1">
      <c r="A57">
        <v>56</v>
      </c>
      <c r="B57">
        <v>56</v>
      </c>
      <c r="C57" s="2" t="str">
        <f>VLOOKUP(B57,Purchase!A:I,9,0)</f>
        <v>김은지</v>
      </c>
      <c r="D57" s="5">
        <f>VLOOKUP(B57,Purchase!A:B,2,0)</f>
        <v>45498</v>
      </c>
      <c r="E57" t="s">
        <v>4</v>
      </c>
      <c r="F57">
        <v>1</v>
      </c>
      <c r="G57" s="2">
        <f>VLOOKUP(B57,Purchase!A:C,3,0)</f>
        <v>16</v>
      </c>
      <c r="H57" s="2" t="str">
        <f>VLOOKUP(G57,ProductList!A:B,2,0)</f>
        <v>리즌 트레일 피그먼트 롱 슬리브 크림</v>
      </c>
    </row>
    <row r="58" spans="1:8">
      <c r="A58">
        <v>57</v>
      </c>
      <c r="B58">
        <v>57</v>
      </c>
      <c r="C58" s="2" t="str">
        <f>VLOOKUP(B58,Purchase!A:I,9,0)</f>
        <v>이성민</v>
      </c>
      <c r="D58" s="5">
        <f>VLOOKUP(B58,Purchase!A:B,2,0)</f>
        <v>45594</v>
      </c>
      <c r="E58" t="s">
        <v>5</v>
      </c>
      <c r="F58">
        <v>1</v>
      </c>
      <c r="G58" s="2">
        <f>VLOOKUP(B58,Purchase!A:C,3,0)</f>
        <v>1</v>
      </c>
      <c r="H58" s="2" t="str">
        <f>VLOOKUP(G58,ProductList!A:B,2,0)</f>
        <v>린넨 스카시 니트 셔츠 BLACK</v>
      </c>
    </row>
    <row r="59" spans="1:8" hidden="1">
      <c r="A59">
        <v>58</v>
      </c>
      <c r="B59">
        <v>58</v>
      </c>
      <c r="C59" s="2" t="str">
        <f>VLOOKUP(B59,Purchase!A:I,9,0)</f>
        <v>윤예지</v>
      </c>
      <c r="D59" s="5">
        <f>VLOOKUP(B59,Purchase!A:B,2,0)</f>
        <v>45510</v>
      </c>
      <c r="E59" t="s">
        <v>4</v>
      </c>
      <c r="F59">
        <v>2</v>
      </c>
      <c r="G59" s="2">
        <f>VLOOKUP(B59,Purchase!A:C,3,0)</f>
        <v>14</v>
      </c>
      <c r="H59" s="2" t="str">
        <f>VLOOKUP(G59,ProductList!A:B,2,0)</f>
        <v>입으면 바로 힙스터 LS 티셔츠 [블랙]</v>
      </c>
    </row>
    <row r="60" spans="1:8" hidden="1">
      <c r="A60">
        <v>59</v>
      </c>
      <c r="B60">
        <v>59</v>
      </c>
      <c r="C60" s="2" t="str">
        <f>VLOOKUP(B60,Purchase!A:I,9,0)</f>
        <v>류진우</v>
      </c>
      <c r="D60" s="5">
        <f>VLOOKUP(B60,Purchase!A:B,2,0)</f>
        <v>45413</v>
      </c>
      <c r="E60" t="s">
        <v>6</v>
      </c>
      <c r="F60">
        <v>2.5</v>
      </c>
      <c r="G60" s="2">
        <f>VLOOKUP(B60,Purchase!A:C,3,0)</f>
        <v>15</v>
      </c>
      <c r="H60" s="2" t="str">
        <f>VLOOKUP(G60,ProductList!A:B,2,0)</f>
        <v>Moon Night Raglan L/S Tee [4Color]</v>
      </c>
    </row>
    <row r="61" spans="1:8">
      <c r="A61">
        <v>60</v>
      </c>
      <c r="B61">
        <v>60</v>
      </c>
      <c r="C61" s="2" t="str">
        <f>VLOOKUP(B61,Purchase!A:I,9,0)</f>
        <v>강수빈</v>
      </c>
      <c r="D61" s="5">
        <f>VLOOKUP(B61,Purchase!A:B,2,0)</f>
        <v>45504</v>
      </c>
      <c r="E61" t="s">
        <v>5</v>
      </c>
      <c r="F61">
        <v>2</v>
      </c>
      <c r="G61" s="2">
        <f>VLOOKUP(B61,Purchase!A:C,3,0)</f>
        <v>1</v>
      </c>
      <c r="H61" s="2" t="str">
        <f>VLOOKUP(G61,ProductList!A:B,2,0)</f>
        <v>린넨 스카시 니트 셔츠 BLACK</v>
      </c>
    </row>
    <row r="62" spans="1:8" hidden="1">
      <c r="A62">
        <v>61</v>
      </c>
      <c r="B62">
        <v>61</v>
      </c>
      <c r="C62" s="2" t="str">
        <f>VLOOKUP(B62,Purchase!A:I,9,0)</f>
        <v>김정희</v>
      </c>
      <c r="D62" s="5">
        <f>VLOOKUP(B62,Purchase!A:B,2,0)</f>
        <v>45498</v>
      </c>
      <c r="E62" t="s">
        <v>7</v>
      </c>
      <c r="F62">
        <v>3.5</v>
      </c>
      <c r="G62" s="2">
        <f>VLOOKUP(B62,Purchase!A:C,3,0)</f>
        <v>34</v>
      </c>
      <c r="H62" s="2" t="str">
        <f>VLOOKUP(G62,ProductList!A:B,2,0)</f>
        <v>에어 썸머 조거 밴딩 바스락 팬츠 5PP911</v>
      </c>
    </row>
    <row r="63" spans="1:8" hidden="1">
      <c r="A63">
        <v>62</v>
      </c>
      <c r="B63">
        <v>62</v>
      </c>
      <c r="C63" s="2" t="str">
        <f>VLOOKUP(B63,Purchase!A:I,9,0)</f>
        <v>김정희</v>
      </c>
      <c r="D63" s="5">
        <f>VLOOKUP(B63,Purchase!A:B,2,0)</f>
        <v>45523</v>
      </c>
      <c r="E63" t="s">
        <v>5</v>
      </c>
      <c r="F63">
        <v>4</v>
      </c>
      <c r="G63" s="2">
        <f>VLOOKUP(B63,Purchase!A:C,3,0)</f>
        <v>11</v>
      </c>
      <c r="H63" s="2" t="str">
        <f>VLOOKUP(G63,ProductList!A:B,2,0)</f>
        <v>BEARS BASKETBALL DIET HOODIE GRAY</v>
      </c>
    </row>
    <row r="64" spans="1:8" hidden="1">
      <c r="A64">
        <v>63</v>
      </c>
      <c r="B64">
        <v>63</v>
      </c>
      <c r="C64" s="2" t="str">
        <f>VLOOKUP(B64,Purchase!A:I,9,0)</f>
        <v>문민지</v>
      </c>
      <c r="D64" s="5">
        <f>VLOOKUP(B64,Purchase!A:B,2,0)</f>
        <v>45525</v>
      </c>
      <c r="E64" t="s">
        <v>8</v>
      </c>
      <c r="F64">
        <v>4.5</v>
      </c>
      <c r="G64" s="2">
        <f>VLOOKUP(B64,Purchase!A:C,3,0)</f>
        <v>67</v>
      </c>
      <c r="H64" s="2" t="str">
        <f>VLOOKUP(G64,ProductList!A:B,2,0)</f>
        <v>비건 스웨이드 오버핏 미니멀 인시전 스트레이트 집업 자켓</v>
      </c>
    </row>
    <row r="65" spans="1:8" hidden="1">
      <c r="A65">
        <v>64</v>
      </c>
      <c r="B65">
        <v>64</v>
      </c>
      <c r="C65" s="2" t="str">
        <f>VLOOKUP(B65,Purchase!A:I,9,0)</f>
        <v>엄지혜</v>
      </c>
      <c r="D65" s="5">
        <f>VLOOKUP(B65,Purchase!A:B,2,0)</f>
        <v>45394</v>
      </c>
      <c r="E65" t="s">
        <v>4</v>
      </c>
      <c r="F65">
        <v>5</v>
      </c>
      <c r="G65" s="2">
        <f>VLOOKUP(B65,Purchase!A:C,3,0)</f>
        <v>30</v>
      </c>
      <c r="H65" s="2" t="str">
        <f>VLOOKUP(G65,ProductList!A:B,2,0)</f>
        <v>편애깅스-세미 부츠컷 CDTM24A02_7358</v>
      </c>
    </row>
    <row r="66" spans="1:8" hidden="1">
      <c r="A66">
        <v>65</v>
      </c>
      <c r="B66">
        <v>65</v>
      </c>
      <c r="C66" s="2" t="str">
        <f>VLOOKUP(B66,Purchase!A:I,9,0)</f>
        <v>윤예지</v>
      </c>
      <c r="D66" s="5">
        <f>VLOOKUP(B66,Purchase!A:B,2,0)</f>
        <v>45504</v>
      </c>
      <c r="E66" t="s">
        <v>4</v>
      </c>
      <c r="F66">
        <v>0</v>
      </c>
      <c r="G66" s="2">
        <f>VLOOKUP(B66,Purchase!A:C,3,0)</f>
        <v>53</v>
      </c>
      <c r="H66" s="2" t="str">
        <f>VLOOKUP(G66,ProductList!A:B,2,0)</f>
        <v>에리노 에나멜 리본 메리제인 플랫슈즈</v>
      </c>
    </row>
    <row r="67" spans="1:8" hidden="1">
      <c r="A67">
        <v>66</v>
      </c>
      <c r="B67">
        <v>66</v>
      </c>
      <c r="C67" s="2" t="str">
        <f>VLOOKUP(B67,Purchase!A:I,9,0)</f>
        <v>이상현</v>
      </c>
      <c r="D67" s="5">
        <f>VLOOKUP(B67,Purchase!A:B,2,0)</f>
        <v>45589</v>
      </c>
      <c r="E67" t="s">
        <v>4</v>
      </c>
      <c r="F67">
        <v>1</v>
      </c>
      <c r="G67" s="2">
        <f>VLOOKUP(B67,Purchase!A:C,3,0)</f>
        <v>20</v>
      </c>
      <c r="H67" s="2" t="str">
        <f>VLOOKUP(G67,ProductList!A:B,2,0)</f>
        <v>MOT SERIES TEE</v>
      </c>
    </row>
    <row r="68" spans="1:8" hidden="1">
      <c r="A68">
        <v>67</v>
      </c>
      <c r="B68">
        <v>67</v>
      </c>
      <c r="C68" s="2" t="str">
        <f>VLOOKUP(B68,Purchase!A:I,9,0)</f>
        <v>김영미</v>
      </c>
      <c r="D68" s="5">
        <f>VLOOKUP(B68,Purchase!A:B,2,0)</f>
        <v>45422</v>
      </c>
      <c r="E68" t="s">
        <v>6</v>
      </c>
      <c r="F68">
        <v>1.5</v>
      </c>
      <c r="G68" s="2">
        <f>VLOOKUP(B68,Purchase!A:C,3,0)</f>
        <v>50</v>
      </c>
      <c r="H68" s="2" t="str">
        <f>VLOOKUP(G68,ProductList!A:B,2,0)</f>
        <v>스틸레토 더블 리본장식 슬링백 412412002</v>
      </c>
    </row>
    <row r="69" spans="1:8" hidden="1">
      <c r="A69">
        <v>68</v>
      </c>
      <c r="B69">
        <v>68</v>
      </c>
      <c r="C69" s="2" t="str">
        <f>VLOOKUP(B69,Purchase!A:I,9,0)</f>
        <v>손준서</v>
      </c>
      <c r="D69" s="5">
        <f>VLOOKUP(B69,Purchase!A:B,2,0)</f>
        <v>45523</v>
      </c>
      <c r="E69" t="s">
        <v>4</v>
      </c>
      <c r="F69">
        <v>2</v>
      </c>
      <c r="G69" s="2">
        <f>VLOOKUP(B69,Purchase!A:C,3,0)</f>
        <v>32</v>
      </c>
      <c r="H69" s="2" t="str">
        <f>VLOOKUP(G69,ProductList!A:B,2,0)</f>
        <v>라이즈 업 에어 플러스 바이커 쇼츠 AWSDLG731</v>
      </c>
    </row>
    <row r="70" spans="1:8" hidden="1">
      <c r="A70">
        <v>69</v>
      </c>
      <c r="B70">
        <v>69</v>
      </c>
      <c r="C70" s="2" t="str">
        <f>VLOOKUP(B70,Purchase!A:I,9,0)</f>
        <v>류진우</v>
      </c>
      <c r="D70" s="5">
        <f>VLOOKUP(B70,Purchase!A:B,2,0)</f>
        <v>45648</v>
      </c>
      <c r="E70" t="s">
        <v>4</v>
      </c>
      <c r="F70">
        <v>2.5</v>
      </c>
      <c r="G70" s="2">
        <f>VLOOKUP(B70,Purchase!A:C,3,0)</f>
        <v>72</v>
      </c>
      <c r="H70" s="2" t="str">
        <f>VLOOKUP(G70,ProductList!A:B,2,0)</f>
        <v>VEGAN LEATHER THYNSULATE PADDING_CREAM</v>
      </c>
    </row>
    <row r="71" spans="1:8" hidden="1">
      <c r="A71">
        <v>70</v>
      </c>
      <c r="B71">
        <v>70</v>
      </c>
      <c r="C71" s="2" t="str">
        <f>VLOOKUP(B71,Purchase!A:I,9,0)</f>
        <v>이수민</v>
      </c>
      <c r="D71" s="5">
        <f>VLOOKUP(B71,Purchase!A:B,2,0)</f>
        <v>45449</v>
      </c>
      <c r="E71" t="s">
        <v>8</v>
      </c>
      <c r="F71">
        <v>3</v>
      </c>
      <c r="G71" s="2">
        <f>VLOOKUP(B71,Purchase!A:C,3,0)</f>
        <v>67</v>
      </c>
      <c r="H71" s="2" t="str">
        <f>VLOOKUP(G71,ProductList!A:B,2,0)</f>
        <v>비건 스웨이드 오버핏 미니멀 인시전 스트레이트 집업 자켓</v>
      </c>
    </row>
    <row r="72" spans="1:8" hidden="1">
      <c r="A72">
        <v>71</v>
      </c>
      <c r="B72">
        <v>71</v>
      </c>
      <c r="C72" s="2" t="str">
        <f>VLOOKUP(B72,Purchase!A:I,9,0)</f>
        <v>박정수</v>
      </c>
      <c r="D72" s="5">
        <f>VLOOKUP(B72,Purchase!A:B,2,0)</f>
        <v>45362</v>
      </c>
      <c r="E72" t="s">
        <v>7</v>
      </c>
      <c r="F72">
        <v>3.5</v>
      </c>
      <c r="G72" s="2">
        <f>VLOOKUP(B72,Purchase!A:C,3,0)</f>
        <v>52</v>
      </c>
      <c r="H72" s="2" t="str">
        <f>VLOOKUP(G72,ProductList!A:B,2,0)</f>
        <v>볼드 메리제인</v>
      </c>
    </row>
    <row r="73" spans="1:8" hidden="1">
      <c r="A73">
        <v>72</v>
      </c>
      <c r="B73">
        <v>72</v>
      </c>
      <c r="C73" s="2" t="str">
        <f>VLOOKUP(B73,Purchase!A:I,9,0)</f>
        <v>김은지</v>
      </c>
      <c r="D73" s="5">
        <f>VLOOKUP(B73,Purchase!A:B,2,0)</f>
        <v>45578</v>
      </c>
      <c r="E73" t="s">
        <v>4</v>
      </c>
      <c r="F73">
        <v>4</v>
      </c>
      <c r="G73" s="2">
        <f>VLOOKUP(B73,Purchase!A:C,3,0)</f>
        <v>72</v>
      </c>
      <c r="H73" s="2" t="str">
        <f>VLOOKUP(G73,ProductList!A:B,2,0)</f>
        <v>VEGAN LEATHER THYNSULATE PADDING_CREAM</v>
      </c>
    </row>
    <row r="74" spans="1:8">
      <c r="A74">
        <v>73</v>
      </c>
      <c r="B74">
        <v>73</v>
      </c>
      <c r="C74" s="2" t="str">
        <f>VLOOKUP(B74,Purchase!A:I,9,0)</f>
        <v>이예은</v>
      </c>
      <c r="D74" s="5">
        <f>VLOOKUP(B74,Purchase!A:B,2,0)</f>
        <v>45557</v>
      </c>
      <c r="E74" t="s">
        <v>6</v>
      </c>
      <c r="F74">
        <v>1</v>
      </c>
      <c r="G74" s="2">
        <f>VLOOKUP(B74,Purchase!A:C,3,0)</f>
        <v>1</v>
      </c>
      <c r="H74" s="2" t="str">
        <f>VLOOKUP(G74,ProductList!A:B,2,0)</f>
        <v>린넨 스카시 니트 셔츠 BLACK</v>
      </c>
    </row>
    <row r="75" spans="1:8" hidden="1">
      <c r="A75">
        <v>74</v>
      </c>
      <c r="B75">
        <v>74</v>
      </c>
      <c r="C75" s="2" t="str">
        <f>VLOOKUP(B75,Purchase!A:I,9,0)</f>
        <v>이현준</v>
      </c>
      <c r="D75" s="5">
        <f>VLOOKUP(B75,Purchase!A:B,2,0)</f>
        <v>45495</v>
      </c>
      <c r="E75" t="s">
        <v>7</v>
      </c>
      <c r="F75">
        <v>5</v>
      </c>
      <c r="G75" s="2">
        <f>VLOOKUP(B75,Purchase!A:C,3,0)</f>
        <v>41</v>
      </c>
      <c r="H75" s="2" t="str">
        <f>VLOOKUP(G75,ProductList!A:B,2,0)</f>
        <v>베이직 티셔츠</v>
      </c>
    </row>
    <row r="76" spans="1:8" hidden="1">
      <c r="A76">
        <v>75</v>
      </c>
      <c r="B76">
        <v>75</v>
      </c>
      <c r="C76" s="2" t="str">
        <f>VLOOKUP(B76,Purchase!A:I,9,0)</f>
        <v>박영호</v>
      </c>
      <c r="D76" s="5">
        <f>VLOOKUP(B76,Purchase!A:B,2,0)</f>
        <v>45450</v>
      </c>
      <c r="E76" t="s">
        <v>4</v>
      </c>
      <c r="F76">
        <v>0</v>
      </c>
      <c r="G76" s="2">
        <f>VLOOKUP(B76,Purchase!A:C,3,0)</f>
        <v>68</v>
      </c>
      <c r="H76" s="2" t="str">
        <f>VLOOKUP(G76,ProductList!A:B,2,0)</f>
        <v>LIGHT RELAX FIT BLOUSON IVORY</v>
      </c>
    </row>
    <row r="77" spans="1:8" hidden="1">
      <c r="A77">
        <v>76</v>
      </c>
      <c r="B77">
        <v>76</v>
      </c>
      <c r="C77" s="2" t="str">
        <f>VLOOKUP(B77,Purchase!A:I,9,0)</f>
        <v>문민지</v>
      </c>
      <c r="D77" s="5">
        <f>VLOOKUP(B77,Purchase!A:B,2,0)</f>
        <v>45621</v>
      </c>
      <c r="E77" t="s">
        <v>5</v>
      </c>
      <c r="F77">
        <v>1</v>
      </c>
      <c r="G77" s="2">
        <f>VLOOKUP(B77,Purchase!A:C,3,0)</f>
        <v>26</v>
      </c>
      <c r="H77" s="2" t="str">
        <f>VLOOKUP(G77,ProductList!A:B,2,0)</f>
        <v>LINEN CHINO PANTS CHARCOAL</v>
      </c>
    </row>
    <row r="78" spans="1:8" hidden="1">
      <c r="A78">
        <v>77</v>
      </c>
      <c r="B78">
        <v>77</v>
      </c>
      <c r="C78" s="2" t="str">
        <f>VLOOKUP(B78,Purchase!A:I,9,0)</f>
        <v>이현정</v>
      </c>
      <c r="D78" s="5">
        <f>VLOOKUP(B78,Purchase!A:B,2,0)</f>
        <v>45445</v>
      </c>
      <c r="E78" t="s">
        <v>7</v>
      </c>
      <c r="F78">
        <v>1.5</v>
      </c>
      <c r="G78" s="2">
        <f>VLOOKUP(B78,Purchase!A:C,3,0)</f>
        <v>28</v>
      </c>
      <c r="H78" s="2" t="str">
        <f>VLOOKUP(G78,ProductList!A:B,2,0)</f>
        <v>코튼 밴딩 와이드 팬츠 (BEIGE)</v>
      </c>
    </row>
    <row r="79" spans="1:8" hidden="1">
      <c r="A79">
        <v>78</v>
      </c>
      <c r="B79">
        <v>78</v>
      </c>
      <c r="C79" s="2" t="str">
        <f>VLOOKUP(B79,Purchase!A:I,9,0)</f>
        <v>이예은</v>
      </c>
      <c r="D79" s="5">
        <f>VLOOKUP(B79,Purchase!A:B,2,0)</f>
        <v>45435</v>
      </c>
      <c r="E79" t="s">
        <v>4</v>
      </c>
      <c r="F79">
        <v>2</v>
      </c>
      <c r="G79" s="2">
        <f>VLOOKUP(B79,Purchase!A:C,3,0)</f>
        <v>57</v>
      </c>
      <c r="H79" s="2" t="str">
        <f>VLOOKUP(G79,ProductList!A:B,2,0)</f>
        <v>아리조나 블랙</v>
      </c>
    </row>
    <row r="80" spans="1:8" hidden="1">
      <c r="A80">
        <v>79</v>
      </c>
      <c r="B80">
        <v>79</v>
      </c>
      <c r="C80" s="2" t="str">
        <f>VLOOKUP(B80,Purchase!A:I,9,0)</f>
        <v>김현정</v>
      </c>
      <c r="D80" s="5">
        <f>VLOOKUP(B80,Purchase!A:B,2,0)</f>
        <v>45541</v>
      </c>
      <c r="E80" t="s">
        <v>6</v>
      </c>
      <c r="F80">
        <v>2.5</v>
      </c>
      <c r="G80" s="2">
        <f>VLOOKUP(B80,Purchase!A:C,3,0)</f>
        <v>4</v>
      </c>
      <c r="H80" s="2" t="str">
        <f>VLOOKUP(G80,ProductList!A:B,2,0)</f>
        <v>HARD TWIST COMFORT POLO KNIT [IVORY]</v>
      </c>
    </row>
    <row r="81" spans="1:8">
      <c r="A81">
        <v>80</v>
      </c>
      <c r="B81">
        <v>80</v>
      </c>
      <c r="C81" s="2" t="str">
        <f>VLOOKUP(B81,Purchase!A:I,9,0)</f>
        <v>박정수</v>
      </c>
      <c r="D81" s="5">
        <f>VLOOKUP(B81,Purchase!A:B,2,0)</f>
        <v>45645</v>
      </c>
      <c r="E81" t="s">
        <v>8</v>
      </c>
      <c r="F81">
        <v>1</v>
      </c>
      <c r="G81" s="2">
        <f>VLOOKUP(B81,Purchase!A:C,3,0)</f>
        <v>1</v>
      </c>
      <c r="H81" s="2" t="str">
        <f>VLOOKUP(G81,ProductList!A:B,2,0)</f>
        <v>린넨 스카시 니트 셔츠 BLACK</v>
      </c>
    </row>
    <row r="82" spans="1:8" hidden="1">
      <c r="A82">
        <v>81</v>
      </c>
      <c r="B82">
        <v>81</v>
      </c>
      <c r="C82" s="2" t="str">
        <f>VLOOKUP(B82,Purchase!A:I,9,0)</f>
        <v>이현정</v>
      </c>
      <c r="D82" s="5">
        <f>VLOOKUP(B82,Purchase!A:B,2,0)</f>
        <v>45293</v>
      </c>
      <c r="E82" t="s">
        <v>7</v>
      </c>
      <c r="F82">
        <v>3.5</v>
      </c>
      <c r="G82" s="2">
        <f>VLOOKUP(B82,Purchase!A:C,3,0)</f>
        <v>29</v>
      </c>
      <c r="H82" s="2" t="str">
        <f>VLOOKUP(G82,ProductList!A:B,2,0)</f>
        <v>[2 PACK] 에어플러스 부츠컷 레깅스 AWNELG705</v>
      </c>
    </row>
    <row r="83" spans="1:8">
      <c r="A83">
        <v>82</v>
      </c>
      <c r="B83">
        <v>82</v>
      </c>
      <c r="C83" s="2" t="str">
        <f>VLOOKUP(B83,Purchase!A:I,9,0)</f>
        <v>전예진</v>
      </c>
      <c r="D83" s="5">
        <f>VLOOKUP(B83,Purchase!A:B,2,0)</f>
        <v>45464</v>
      </c>
      <c r="E83" t="s">
        <v>7</v>
      </c>
      <c r="F83">
        <v>3</v>
      </c>
      <c r="G83" s="2">
        <f>VLOOKUP(B83,Purchase!A:C,3,0)</f>
        <v>1</v>
      </c>
      <c r="H83" s="2" t="str">
        <f>VLOOKUP(G83,ProductList!A:B,2,0)</f>
        <v>린넨 스카시 니트 셔츠 BLACK</v>
      </c>
    </row>
    <row r="84" spans="1:8" hidden="1">
      <c r="A84">
        <v>83</v>
      </c>
      <c r="B84">
        <v>83</v>
      </c>
      <c r="C84" s="2" t="str">
        <f>VLOOKUP(B84,Purchase!A:I,9,0)</f>
        <v>김은지</v>
      </c>
      <c r="D84" s="5">
        <f>VLOOKUP(B84,Purchase!A:B,2,0)</f>
        <v>45535</v>
      </c>
      <c r="E84" t="s">
        <v>8</v>
      </c>
      <c r="F84">
        <v>4.5</v>
      </c>
      <c r="G84" s="2">
        <f>VLOOKUP(B84,Purchase!A:C,3,0)</f>
        <v>51</v>
      </c>
      <c r="H84" s="2" t="str">
        <f>VLOOKUP(G84,ProductList!A:B,2,0)</f>
        <v>BRYN VELCRO SNEAKERS(MESH)</v>
      </c>
    </row>
    <row r="85" spans="1:8" hidden="1">
      <c r="A85">
        <v>84</v>
      </c>
      <c r="B85">
        <v>84</v>
      </c>
      <c r="C85" s="2" t="str">
        <f>VLOOKUP(B85,Purchase!A:I,9,0)</f>
        <v>이수민</v>
      </c>
      <c r="D85" s="5">
        <f>VLOOKUP(B85,Purchase!A:B,2,0)</f>
        <v>45346</v>
      </c>
      <c r="E85" t="s">
        <v>8</v>
      </c>
      <c r="F85">
        <v>5</v>
      </c>
      <c r="G85" s="2">
        <f>VLOOKUP(B85,Purchase!A:C,3,0)</f>
        <v>17</v>
      </c>
      <c r="H85" s="2" t="str">
        <f>VLOOKUP(G85,ProductList!A:B,2,0)</f>
        <v>[3PACK]퓨어코튼 24수 롱기장 레이어드 반팔</v>
      </c>
    </row>
    <row r="86" spans="1:8" hidden="1">
      <c r="A86">
        <v>85</v>
      </c>
      <c r="B86">
        <v>85</v>
      </c>
      <c r="C86" s="2" t="str">
        <f>VLOOKUP(B86,Purchase!A:I,9,0)</f>
        <v>박은정</v>
      </c>
      <c r="D86" s="5">
        <f>VLOOKUP(B86,Purchase!A:B,2,0)</f>
        <v>45549</v>
      </c>
      <c r="E86" t="s">
        <v>8</v>
      </c>
      <c r="F86">
        <v>0</v>
      </c>
      <c r="G86" s="2">
        <f>VLOOKUP(B86,Purchase!A:C,3,0)</f>
        <v>18</v>
      </c>
      <c r="H86" s="2" t="str">
        <f>VLOOKUP(G86,ProductList!A:B,2,0)</f>
        <v>넘버 크랙 티 레드</v>
      </c>
    </row>
    <row r="87" spans="1:8" hidden="1">
      <c r="A87">
        <v>86</v>
      </c>
      <c r="B87">
        <v>86</v>
      </c>
      <c r="C87" s="2" t="str">
        <f>VLOOKUP(B87,Purchase!A:I,9,0)</f>
        <v>고우진</v>
      </c>
      <c r="D87" s="5">
        <f>VLOOKUP(B87,Purchase!A:B,2,0)</f>
        <v>45568</v>
      </c>
      <c r="E87" t="s">
        <v>5</v>
      </c>
      <c r="F87">
        <v>1</v>
      </c>
      <c r="G87" s="2">
        <f>VLOOKUP(B87,Purchase!A:C,3,0)</f>
        <v>48</v>
      </c>
      <c r="H87" s="2" t="str">
        <f>VLOOKUP(G87,ProductList!A:B,2,0)</f>
        <v>ljh7043 Platform maryjane loafer _ 2colors</v>
      </c>
    </row>
    <row r="88" spans="1:8" hidden="1">
      <c r="A88">
        <v>87</v>
      </c>
      <c r="B88">
        <v>87</v>
      </c>
      <c r="C88" s="2" t="str">
        <f>VLOOKUP(B88,Purchase!A:I,9,0)</f>
        <v>박동현</v>
      </c>
      <c r="D88" s="5">
        <f>VLOOKUP(B88,Purchase!A:B,2,0)</f>
        <v>45442</v>
      </c>
      <c r="E88" t="s">
        <v>8</v>
      </c>
      <c r="F88">
        <v>1.5</v>
      </c>
      <c r="G88" s="2">
        <f>VLOOKUP(B88,Purchase!A:C,3,0)</f>
        <v>51</v>
      </c>
      <c r="H88" s="2" t="str">
        <f>VLOOKUP(G88,ProductList!A:B,2,0)</f>
        <v>BRYN VELCRO SNEAKERS(MESH)</v>
      </c>
    </row>
    <row r="89" spans="1:8" hidden="1">
      <c r="A89">
        <v>88</v>
      </c>
      <c r="B89">
        <v>88</v>
      </c>
      <c r="C89" s="2" t="str">
        <f>VLOOKUP(B89,Purchase!A:I,9,0)</f>
        <v>박동현</v>
      </c>
      <c r="D89" s="5">
        <f>VLOOKUP(B89,Purchase!A:B,2,0)</f>
        <v>45411</v>
      </c>
      <c r="E89" t="s">
        <v>7</v>
      </c>
      <c r="F89">
        <v>2</v>
      </c>
      <c r="G89" s="2">
        <f>VLOOKUP(B89,Purchase!A:C,3,0)</f>
        <v>11</v>
      </c>
      <c r="H89" s="2" t="str">
        <f>VLOOKUP(G89,ProductList!A:B,2,0)</f>
        <v>BEARS BASKETBALL DIET HOODIE GRAY</v>
      </c>
    </row>
    <row r="90" spans="1:8" hidden="1">
      <c r="A90">
        <v>89</v>
      </c>
      <c r="B90">
        <v>89</v>
      </c>
      <c r="C90" s="2" t="str">
        <f>VLOOKUP(B90,Purchase!A:I,9,0)</f>
        <v>이현정</v>
      </c>
      <c r="D90" s="5">
        <f>VLOOKUP(B90,Purchase!A:B,2,0)</f>
        <v>45359</v>
      </c>
      <c r="E90" t="s">
        <v>4</v>
      </c>
      <c r="F90">
        <v>2.5</v>
      </c>
      <c r="G90" s="2">
        <f>VLOOKUP(B90,Purchase!A:C,3,0)</f>
        <v>25</v>
      </c>
      <c r="H90" s="2" t="str">
        <f>VLOOKUP(G90,ProductList!A:B,2,0)</f>
        <v>CORDUROY CARGO PARACHUTE PANTS</v>
      </c>
    </row>
    <row r="91" spans="1:8" hidden="1">
      <c r="A91">
        <v>90</v>
      </c>
      <c r="B91">
        <v>90</v>
      </c>
      <c r="C91" s="2" t="str">
        <f>VLOOKUP(B91,Purchase!A:I,9,0)</f>
        <v>김현정</v>
      </c>
      <c r="D91" s="5">
        <f>VLOOKUP(B91,Purchase!A:B,2,0)</f>
        <v>45521</v>
      </c>
      <c r="E91" t="s">
        <v>8</v>
      </c>
      <c r="F91">
        <v>3</v>
      </c>
      <c r="G91" s="2">
        <f>VLOOKUP(B91,Purchase!A:C,3,0)</f>
        <v>33</v>
      </c>
      <c r="H91" s="2" t="str">
        <f>VLOOKUP(G91,ProductList!A:B,2,0)</f>
        <v>뉴비긴 트레이닝 조거팬츠_블랙 트레이닝</v>
      </c>
    </row>
    <row r="92" spans="1:8" hidden="1">
      <c r="A92">
        <v>91</v>
      </c>
      <c r="B92">
        <v>91</v>
      </c>
      <c r="C92" s="2" t="str">
        <f>VLOOKUP(B92,Purchase!A:I,9,0)</f>
        <v>김영미</v>
      </c>
      <c r="D92" s="5">
        <f>VLOOKUP(B92,Purchase!A:B,2,0)</f>
        <v>45511</v>
      </c>
      <c r="E92" t="s">
        <v>4</v>
      </c>
      <c r="F92">
        <v>3.5</v>
      </c>
      <c r="G92" s="2">
        <f>VLOOKUP(B92,Purchase!A:C,3,0)</f>
        <v>22</v>
      </c>
      <c r="H92" s="2" t="str">
        <f>VLOOKUP(G92,ProductList!A:B,2,0)</f>
        <v>BELTED DOBBY SHORTS</v>
      </c>
    </row>
    <row r="93" spans="1:8" hidden="1">
      <c r="A93">
        <v>92</v>
      </c>
      <c r="B93">
        <v>92</v>
      </c>
      <c r="C93" s="2" t="str">
        <f>VLOOKUP(B93,Purchase!A:I,9,0)</f>
        <v>박정수</v>
      </c>
      <c r="D93" s="5">
        <f>VLOOKUP(B93,Purchase!A:B,2,0)</f>
        <v>45525</v>
      </c>
      <c r="E93" t="s">
        <v>8</v>
      </c>
      <c r="F93">
        <v>4</v>
      </c>
      <c r="G93" s="2">
        <f>VLOOKUP(B93,Purchase!A:C,3,0)</f>
        <v>14</v>
      </c>
      <c r="H93" s="2" t="str">
        <f>VLOOKUP(G93,ProductList!A:B,2,0)</f>
        <v>입으면 바로 힙스터 LS 티셔츠 [블랙]</v>
      </c>
    </row>
    <row r="94" spans="1:8">
      <c r="A94">
        <v>93</v>
      </c>
      <c r="B94">
        <v>93</v>
      </c>
      <c r="C94" s="2" t="str">
        <f>VLOOKUP(B94,Purchase!A:I,9,0)</f>
        <v>이현정</v>
      </c>
      <c r="D94" s="5">
        <f>VLOOKUP(B94,Purchase!A:B,2,0)</f>
        <v>45459</v>
      </c>
      <c r="E94" t="s">
        <v>6</v>
      </c>
      <c r="F94">
        <v>3.5</v>
      </c>
      <c r="G94" s="2">
        <f>VLOOKUP(B94,Purchase!A:C,3,0)</f>
        <v>1</v>
      </c>
      <c r="H94" s="2" t="str">
        <f>VLOOKUP(G94,ProductList!A:B,2,0)</f>
        <v>린넨 스카시 니트 셔츠 BLACK</v>
      </c>
    </row>
    <row r="95" spans="1:8" hidden="1">
      <c r="A95">
        <v>94</v>
      </c>
      <c r="B95">
        <v>94</v>
      </c>
      <c r="C95" s="2" t="str">
        <f>VLOOKUP(B95,Purchase!A:I,9,0)</f>
        <v>이수민</v>
      </c>
      <c r="D95" s="5">
        <f>VLOOKUP(B95,Purchase!A:B,2,0)</f>
        <v>45586</v>
      </c>
      <c r="E95" t="s">
        <v>8</v>
      </c>
      <c r="F95">
        <v>5</v>
      </c>
      <c r="G95" s="2">
        <f>VLOOKUP(B95,Purchase!A:C,3,0)</f>
        <v>58</v>
      </c>
      <c r="H95" s="2" t="str">
        <f>VLOOKUP(G95,ProductList!A:B,2,0)</f>
        <v>OORIGINAL BLACK - 조리 블랙</v>
      </c>
    </row>
    <row r="96" spans="1:8" hidden="1">
      <c r="A96">
        <v>95</v>
      </c>
      <c r="B96">
        <v>95</v>
      </c>
      <c r="C96" s="2" t="str">
        <f>VLOOKUP(B96,Purchase!A:I,9,0)</f>
        <v>문민지</v>
      </c>
      <c r="D96" s="5">
        <f>VLOOKUP(B96,Purchase!A:B,2,0)</f>
        <v>45593</v>
      </c>
      <c r="E96" t="s">
        <v>6</v>
      </c>
      <c r="F96">
        <v>2.5</v>
      </c>
      <c r="G96" s="2">
        <f>VLOOKUP(B96,Purchase!A:C,3,0)</f>
        <v>57</v>
      </c>
      <c r="H96" s="2" t="str">
        <f>VLOOKUP(G96,ProductList!A:B,2,0)</f>
        <v>아리조나 블랙</v>
      </c>
    </row>
    <row r="97" spans="1:8" hidden="1">
      <c r="A97">
        <v>96</v>
      </c>
      <c r="B97">
        <v>96</v>
      </c>
      <c r="C97" s="2" t="str">
        <f>VLOOKUP(B97,Purchase!A:I,9,0)</f>
        <v>박은정</v>
      </c>
      <c r="D97" s="5">
        <f>VLOOKUP(B97,Purchase!A:B,2,0)</f>
        <v>45470</v>
      </c>
      <c r="E97" t="s">
        <v>7</v>
      </c>
      <c r="F97">
        <v>4.5</v>
      </c>
      <c r="G97" s="2">
        <f>VLOOKUP(B97,Purchase!A:C,3,0)</f>
        <v>24</v>
      </c>
      <c r="H97" s="2" t="str">
        <f>VLOOKUP(G97,ProductList!A:B,2,0)</f>
        <v>ANW Double Jersey Short Pants</v>
      </c>
    </row>
    <row r="98" spans="1:8" hidden="1">
      <c r="A98">
        <v>97</v>
      </c>
      <c r="B98">
        <v>97</v>
      </c>
      <c r="C98" s="2" t="str">
        <f>VLOOKUP(B98,Purchase!A:I,9,0)</f>
        <v>엄지혜</v>
      </c>
      <c r="D98" s="5">
        <f>VLOOKUP(B98,Purchase!A:B,2,0)</f>
        <v>45322</v>
      </c>
      <c r="E98" t="s">
        <v>8</v>
      </c>
      <c r="F98">
        <v>1</v>
      </c>
      <c r="G98" s="2">
        <f>VLOOKUP(B98,Purchase!A:C,3,0)</f>
        <v>2</v>
      </c>
      <c r="H98" s="2" t="str">
        <f>VLOOKUP(G98,ProductList!A:B,2,0)</f>
        <v>(OVERSIZED)HERITAGE DAN PK KNIT IVORY</v>
      </c>
    </row>
    <row r="99" spans="1:8" hidden="1">
      <c r="A99">
        <v>98</v>
      </c>
      <c r="B99">
        <v>98</v>
      </c>
      <c r="C99" s="2" t="str">
        <f>VLOOKUP(B99,Purchase!A:I,9,0)</f>
        <v>박성민</v>
      </c>
      <c r="D99" s="5">
        <f>VLOOKUP(B99,Purchase!A:B,2,0)</f>
        <v>45364</v>
      </c>
      <c r="E99" t="s">
        <v>7</v>
      </c>
      <c r="F99">
        <v>0</v>
      </c>
      <c r="G99" s="2">
        <f>VLOOKUP(B99,Purchase!A:C,3,0)</f>
        <v>59</v>
      </c>
      <c r="H99" s="2" t="str">
        <f>VLOOKUP(G99,ProductList!A:B,2,0)</f>
        <v>아딜렛 아윤 슬라이드</v>
      </c>
    </row>
    <row r="100" spans="1:8" hidden="1">
      <c r="A100">
        <v>99</v>
      </c>
      <c r="B100">
        <v>99</v>
      </c>
      <c r="C100" s="2" t="str">
        <f>VLOOKUP(B100,Purchase!A:I,9,0)</f>
        <v>김영미</v>
      </c>
      <c r="D100" s="5">
        <f>VLOOKUP(B100,Purchase!A:B,2,0)</f>
        <v>45397</v>
      </c>
      <c r="E100" t="s">
        <v>6</v>
      </c>
      <c r="F100">
        <v>2</v>
      </c>
      <c r="G100" s="2">
        <f>VLOOKUP(B100,Purchase!A:C,3,0)</f>
        <v>8</v>
      </c>
      <c r="H100" s="2" t="str">
        <f>VLOOKUP(G100,ProductList!A:B,2,0)</f>
        <v>더블코튼 피치스킨 오버핏 맨투맨 1992 블랙</v>
      </c>
    </row>
    <row r="101" spans="1:8" hidden="1">
      <c r="A101">
        <v>100</v>
      </c>
      <c r="B101">
        <v>100</v>
      </c>
      <c r="C101" s="2" t="str">
        <f>VLOOKUP(B101,Purchase!A:I,9,0)</f>
        <v>고우진</v>
      </c>
      <c r="D101" s="5">
        <f>VLOOKUP(B101,Purchase!A:B,2,0)</f>
        <v>45531</v>
      </c>
      <c r="E101" t="s">
        <v>6</v>
      </c>
      <c r="F101">
        <v>0</v>
      </c>
      <c r="G101" s="2">
        <f>VLOOKUP(B101,Purchase!A:C,3,0)</f>
        <v>39</v>
      </c>
      <c r="H101" s="2" t="str">
        <f>VLOOKUP(G101,ProductList!A:B,2,0)</f>
        <v>클래식 테이퍼드 와이드 원턱 린넨 팬츠_9Color</v>
      </c>
    </row>
    <row r="102" spans="1:8" hidden="1">
      <c r="A102">
        <v>101</v>
      </c>
      <c r="B102">
        <v>101</v>
      </c>
      <c r="C102" s="2" t="e">
        <f>VLOOKUP(B102,Purchase!A:I,9,0)</f>
        <v>#N/A</v>
      </c>
      <c r="D102" s="5" t="e">
        <f>VLOOKUP(B102,Purchase!A:B,2,0)</f>
        <v>#N/A</v>
      </c>
      <c r="E102" t="s">
        <v>4</v>
      </c>
      <c r="F102">
        <v>0</v>
      </c>
      <c r="G102" s="2" t="e">
        <f>VLOOKUP(B102,Purchase!A:C,3,0)</f>
        <v>#N/A</v>
      </c>
      <c r="H102" s="2" t="e">
        <f>VLOOKUP(G102,ProductList!A:B,2,0)</f>
        <v>#N/A</v>
      </c>
    </row>
    <row r="103" spans="1:8" hidden="1">
      <c r="A103">
        <v>102</v>
      </c>
      <c r="B103">
        <v>102</v>
      </c>
      <c r="C103" s="2" t="e">
        <f>VLOOKUP(B103,Purchase!A:I,9,0)</f>
        <v>#N/A</v>
      </c>
      <c r="D103" s="5" t="e">
        <f>VLOOKUP(B103,Purchase!A:B,2,0)</f>
        <v>#N/A</v>
      </c>
      <c r="E103" t="s">
        <v>4</v>
      </c>
      <c r="F103">
        <v>1</v>
      </c>
      <c r="G103" s="2" t="e">
        <f>VLOOKUP(B103,Purchase!A:C,3,0)</f>
        <v>#N/A</v>
      </c>
      <c r="H103" s="2" t="e">
        <f>VLOOKUP(G103,ProductList!A:B,2,0)</f>
        <v>#N/A</v>
      </c>
    </row>
    <row r="104" spans="1:8" hidden="1">
      <c r="A104">
        <v>103</v>
      </c>
      <c r="B104">
        <v>103</v>
      </c>
      <c r="C104" s="2" t="e">
        <f>VLOOKUP(B104,Purchase!A:I,9,0)</f>
        <v>#N/A</v>
      </c>
      <c r="D104" s="5" t="e">
        <f>VLOOKUP(B104,Purchase!A:B,2,0)</f>
        <v>#N/A</v>
      </c>
      <c r="E104" t="s">
        <v>7</v>
      </c>
      <c r="F104">
        <v>1.5</v>
      </c>
      <c r="G104" s="2" t="e">
        <f>VLOOKUP(B104,Purchase!A:C,3,0)</f>
        <v>#N/A</v>
      </c>
      <c r="H104" s="2" t="e">
        <f>VLOOKUP(G104,ProductList!A:B,2,0)</f>
        <v>#N/A</v>
      </c>
    </row>
    <row r="105" spans="1:8" hidden="1">
      <c r="A105">
        <v>104</v>
      </c>
      <c r="B105">
        <v>104</v>
      </c>
      <c r="C105" s="2" t="e">
        <f>VLOOKUP(B105,Purchase!A:I,9,0)</f>
        <v>#N/A</v>
      </c>
      <c r="D105" s="5" t="e">
        <f>VLOOKUP(B105,Purchase!A:B,2,0)</f>
        <v>#N/A</v>
      </c>
      <c r="E105" t="s">
        <v>6</v>
      </c>
      <c r="F105">
        <v>2.5</v>
      </c>
      <c r="G105" s="2" t="e">
        <f>VLOOKUP(B105,Purchase!A:C,3,0)</f>
        <v>#N/A</v>
      </c>
      <c r="H105" s="2" t="e">
        <f>VLOOKUP(G105,ProductList!A:B,2,0)</f>
        <v>#N/A</v>
      </c>
    </row>
    <row r="106" spans="1:8" hidden="1">
      <c r="A106">
        <v>105</v>
      </c>
      <c r="B106">
        <v>105</v>
      </c>
      <c r="C106" s="2" t="e">
        <f>VLOOKUP(B106,Purchase!A:I,9,0)</f>
        <v>#N/A</v>
      </c>
      <c r="D106" s="5" t="e">
        <f>VLOOKUP(B106,Purchase!A:B,2,0)</f>
        <v>#N/A</v>
      </c>
      <c r="E106" t="s">
        <v>8</v>
      </c>
      <c r="F106">
        <v>3</v>
      </c>
      <c r="G106" s="2" t="e">
        <f>VLOOKUP(B106,Purchase!A:C,3,0)</f>
        <v>#N/A</v>
      </c>
      <c r="H106" s="2" t="e">
        <f>VLOOKUP(G106,ProductList!A:B,2,0)</f>
        <v>#N/A</v>
      </c>
    </row>
    <row r="107" spans="1:8" hidden="1">
      <c r="A107">
        <v>106</v>
      </c>
      <c r="B107">
        <v>106</v>
      </c>
      <c r="C107" s="2" t="e">
        <f>VLOOKUP(B107,Purchase!A:I,9,0)</f>
        <v>#N/A</v>
      </c>
      <c r="D107" s="5" t="e">
        <f>VLOOKUP(B107,Purchase!A:B,2,0)</f>
        <v>#N/A</v>
      </c>
      <c r="E107" t="s">
        <v>4</v>
      </c>
      <c r="F107">
        <v>3.5</v>
      </c>
      <c r="G107" s="2" t="e">
        <f>VLOOKUP(B107,Purchase!A:C,3,0)</f>
        <v>#N/A</v>
      </c>
      <c r="H107" s="2" t="e">
        <f>VLOOKUP(G107,ProductList!A:B,2,0)</f>
        <v>#N/A</v>
      </c>
    </row>
    <row r="108" spans="1:8" hidden="1">
      <c r="A108">
        <v>107</v>
      </c>
      <c r="B108">
        <v>107</v>
      </c>
      <c r="C108" s="2" t="e">
        <f>VLOOKUP(B108,Purchase!A:I,9,0)</f>
        <v>#N/A</v>
      </c>
      <c r="D108" s="5" t="e">
        <f>VLOOKUP(B108,Purchase!A:B,2,0)</f>
        <v>#N/A</v>
      </c>
      <c r="E108" t="s">
        <v>4</v>
      </c>
      <c r="F108">
        <v>4.5</v>
      </c>
      <c r="G108" s="2" t="e">
        <f>VLOOKUP(B108,Purchase!A:C,3,0)</f>
        <v>#N/A</v>
      </c>
      <c r="H108" s="2" t="e">
        <f>VLOOKUP(G108,ProductList!A:B,2,0)</f>
        <v>#N/A</v>
      </c>
    </row>
    <row r="109" spans="1:8" hidden="1">
      <c r="A109">
        <v>108</v>
      </c>
      <c r="B109">
        <v>108</v>
      </c>
      <c r="C109" s="2" t="e">
        <f>VLOOKUP(B109,Purchase!A:I,9,0)</f>
        <v>#N/A</v>
      </c>
      <c r="D109" s="5" t="e">
        <f>VLOOKUP(B109,Purchase!A:B,2,0)</f>
        <v>#N/A</v>
      </c>
      <c r="E109" t="s">
        <v>7</v>
      </c>
      <c r="F109">
        <v>5</v>
      </c>
      <c r="G109" s="2" t="e">
        <f>VLOOKUP(B109,Purchase!A:C,3,0)</f>
        <v>#N/A</v>
      </c>
      <c r="H109" s="2" t="e">
        <f>VLOOKUP(G109,ProductList!A:B,2,0)</f>
        <v>#N/A</v>
      </c>
    </row>
    <row r="110" spans="1:8" hidden="1">
      <c r="A110">
        <v>109</v>
      </c>
      <c r="B110">
        <v>109</v>
      </c>
      <c r="C110" s="2" t="e">
        <f>VLOOKUP(B110,Purchase!A:I,9,0)</f>
        <v>#N/A</v>
      </c>
      <c r="D110" s="5" t="e">
        <f>VLOOKUP(B110,Purchase!A:B,2,0)</f>
        <v>#N/A</v>
      </c>
      <c r="E110" t="s">
        <v>5</v>
      </c>
      <c r="F110">
        <v>1</v>
      </c>
      <c r="G110" s="2" t="e">
        <f>VLOOKUP(B110,Purchase!A:C,3,0)</f>
        <v>#N/A</v>
      </c>
      <c r="H110" s="2" t="e">
        <f>VLOOKUP(G110,ProductList!A:B,2,0)</f>
        <v>#N/A</v>
      </c>
    </row>
    <row r="111" spans="1:8" hidden="1">
      <c r="A111">
        <v>110</v>
      </c>
      <c r="B111">
        <v>110</v>
      </c>
      <c r="C111" s="2" t="e">
        <f>VLOOKUP(B111,Purchase!A:I,9,0)</f>
        <v>#N/A</v>
      </c>
      <c r="D111" s="5" t="e">
        <f>VLOOKUP(B111,Purchase!A:B,2,0)</f>
        <v>#N/A</v>
      </c>
      <c r="E111" t="s">
        <v>6</v>
      </c>
      <c r="F111">
        <v>1.5</v>
      </c>
      <c r="G111" s="2" t="e">
        <f>VLOOKUP(B111,Purchase!A:C,3,0)</f>
        <v>#N/A</v>
      </c>
      <c r="H111" s="2" t="e">
        <f>VLOOKUP(G111,ProductList!A:B,2,0)</f>
        <v>#N/A</v>
      </c>
    </row>
    <row r="112" spans="1:8" hidden="1">
      <c r="A112">
        <v>111</v>
      </c>
      <c r="B112">
        <v>111</v>
      </c>
      <c r="C112" s="2" t="e">
        <f>VLOOKUP(B112,Purchase!A:I,9,0)</f>
        <v>#N/A</v>
      </c>
      <c r="D112" s="5" t="e">
        <f>VLOOKUP(B112,Purchase!A:B,2,0)</f>
        <v>#N/A</v>
      </c>
      <c r="E112" t="s">
        <v>4</v>
      </c>
      <c r="F112">
        <v>2</v>
      </c>
      <c r="G112" s="2" t="e">
        <f>VLOOKUP(B112,Purchase!A:C,3,0)</f>
        <v>#N/A</v>
      </c>
      <c r="H112" s="2" t="e">
        <f>VLOOKUP(G112,ProductList!A:B,2,0)</f>
        <v>#N/A</v>
      </c>
    </row>
    <row r="113" spans="1:8" hidden="1">
      <c r="A113">
        <v>112</v>
      </c>
      <c r="B113">
        <v>112</v>
      </c>
      <c r="C113" s="2" t="e">
        <f>VLOOKUP(B113,Purchase!A:I,9,0)</f>
        <v>#N/A</v>
      </c>
      <c r="D113" s="5" t="e">
        <f>VLOOKUP(B113,Purchase!A:B,2,0)</f>
        <v>#N/A</v>
      </c>
      <c r="E113" t="s">
        <v>7</v>
      </c>
      <c r="F113">
        <v>3</v>
      </c>
      <c r="G113" s="2" t="e">
        <f>VLOOKUP(B113,Purchase!A:C,3,0)</f>
        <v>#N/A</v>
      </c>
      <c r="H113" s="2" t="e">
        <f>VLOOKUP(G113,ProductList!A:B,2,0)</f>
        <v>#N/A</v>
      </c>
    </row>
    <row r="114" spans="1:8" hidden="1">
      <c r="A114">
        <v>113</v>
      </c>
      <c r="B114">
        <v>113</v>
      </c>
      <c r="C114" s="2" t="e">
        <f>VLOOKUP(B114,Purchase!A:I,9,0)</f>
        <v>#N/A</v>
      </c>
      <c r="D114" s="5" t="e">
        <f>VLOOKUP(B114,Purchase!A:B,2,0)</f>
        <v>#N/A</v>
      </c>
      <c r="E114" t="s">
        <v>6</v>
      </c>
      <c r="F114">
        <v>3.5</v>
      </c>
      <c r="G114" s="2" t="e">
        <f>VLOOKUP(B114,Purchase!A:C,3,0)</f>
        <v>#N/A</v>
      </c>
      <c r="H114" s="2" t="e">
        <f>VLOOKUP(G114,ProductList!A:B,2,0)</f>
        <v>#N/A</v>
      </c>
    </row>
    <row r="115" spans="1:8" hidden="1">
      <c r="A115">
        <v>114</v>
      </c>
      <c r="B115">
        <v>114</v>
      </c>
      <c r="C115" s="2" t="e">
        <f>VLOOKUP(B115,Purchase!A:I,9,0)</f>
        <v>#N/A</v>
      </c>
      <c r="D115" s="5" t="e">
        <f>VLOOKUP(B115,Purchase!A:B,2,0)</f>
        <v>#N/A</v>
      </c>
      <c r="E115" t="s">
        <v>8</v>
      </c>
      <c r="F115">
        <v>4</v>
      </c>
      <c r="G115" s="2" t="e">
        <f>VLOOKUP(B115,Purchase!A:C,3,0)</f>
        <v>#N/A</v>
      </c>
      <c r="H115" s="2" t="e">
        <f>VLOOKUP(G115,ProductList!A:B,2,0)</f>
        <v>#N/A</v>
      </c>
    </row>
    <row r="116" spans="1:8" hidden="1">
      <c r="A116">
        <v>115</v>
      </c>
      <c r="B116">
        <v>115</v>
      </c>
      <c r="C116" s="2" t="e">
        <f>VLOOKUP(B116,Purchase!A:I,9,0)</f>
        <v>#N/A</v>
      </c>
      <c r="D116" s="5" t="e">
        <f>VLOOKUP(B116,Purchase!A:B,2,0)</f>
        <v>#N/A</v>
      </c>
      <c r="E116" t="s">
        <v>6</v>
      </c>
      <c r="F116">
        <v>5</v>
      </c>
      <c r="G116" s="2" t="e">
        <f>VLOOKUP(B116,Purchase!A:C,3,0)</f>
        <v>#N/A</v>
      </c>
      <c r="H116" s="2" t="e">
        <f>VLOOKUP(G116,ProductList!A:B,2,0)</f>
        <v>#N/A</v>
      </c>
    </row>
    <row r="117" spans="1:8" hidden="1">
      <c r="A117">
        <v>116</v>
      </c>
      <c r="B117">
        <v>116</v>
      </c>
      <c r="C117" s="2" t="e">
        <f>VLOOKUP(B117,Purchase!A:I,9,0)</f>
        <v>#N/A</v>
      </c>
      <c r="D117" s="5" t="e">
        <f>VLOOKUP(B117,Purchase!A:B,2,0)</f>
        <v>#N/A</v>
      </c>
      <c r="E117" t="s">
        <v>4</v>
      </c>
      <c r="F117">
        <v>0</v>
      </c>
      <c r="G117" s="2" t="e">
        <f>VLOOKUP(B117,Purchase!A:C,3,0)</f>
        <v>#N/A</v>
      </c>
      <c r="H117" s="2" t="e">
        <f>VLOOKUP(G117,ProductList!A:B,2,0)</f>
        <v>#N/A</v>
      </c>
    </row>
    <row r="118" spans="1:8" hidden="1">
      <c r="A118">
        <v>117</v>
      </c>
      <c r="B118">
        <v>117</v>
      </c>
      <c r="C118" s="2" t="e">
        <f>VLOOKUP(B118,Purchase!A:I,9,0)</f>
        <v>#N/A</v>
      </c>
      <c r="D118" s="5" t="e">
        <f>VLOOKUP(B118,Purchase!A:B,2,0)</f>
        <v>#N/A</v>
      </c>
      <c r="E118" t="s">
        <v>6</v>
      </c>
      <c r="F118">
        <v>1</v>
      </c>
      <c r="G118" s="2" t="e">
        <f>VLOOKUP(B118,Purchase!A:C,3,0)</f>
        <v>#N/A</v>
      </c>
      <c r="H118" s="2" t="e">
        <f>VLOOKUP(G118,ProductList!A:B,2,0)</f>
        <v>#N/A</v>
      </c>
    </row>
    <row r="119" spans="1:8" hidden="1">
      <c r="A119">
        <v>118</v>
      </c>
      <c r="B119">
        <v>118</v>
      </c>
      <c r="C119" s="2" t="e">
        <f>VLOOKUP(B119,Purchase!A:I,9,0)</f>
        <v>#N/A</v>
      </c>
      <c r="D119" s="5" t="e">
        <f>VLOOKUP(B119,Purchase!A:B,2,0)</f>
        <v>#N/A</v>
      </c>
      <c r="E119" t="s">
        <v>8</v>
      </c>
      <c r="F119">
        <v>1.5</v>
      </c>
      <c r="G119" s="2" t="e">
        <f>VLOOKUP(B119,Purchase!A:C,3,0)</f>
        <v>#N/A</v>
      </c>
      <c r="H119" s="2" t="e">
        <f>VLOOKUP(G119,ProductList!A:B,2,0)</f>
        <v>#N/A</v>
      </c>
    </row>
    <row r="120" spans="1:8" hidden="1">
      <c r="A120">
        <v>119</v>
      </c>
      <c r="B120">
        <v>119</v>
      </c>
      <c r="C120" s="2" t="e">
        <f>VLOOKUP(B120,Purchase!A:I,9,0)</f>
        <v>#N/A</v>
      </c>
      <c r="D120" s="5" t="e">
        <f>VLOOKUP(B120,Purchase!A:B,2,0)</f>
        <v>#N/A</v>
      </c>
      <c r="E120" t="s">
        <v>7</v>
      </c>
      <c r="F120">
        <v>2</v>
      </c>
      <c r="G120" s="2" t="e">
        <f>VLOOKUP(B120,Purchase!A:C,3,0)</f>
        <v>#N/A</v>
      </c>
      <c r="H120" s="2" t="e">
        <f>VLOOKUP(G120,ProductList!A:B,2,0)</f>
        <v>#N/A</v>
      </c>
    </row>
    <row r="121" spans="1:8" hidden="1">
      <c r="A121">
        <v>120</v>
      </c>
      <c r="B121">
        <v>120</v>
      </c>
      <c r="C121" s="2" t="e">
        <f>VLOOKUP(B121,Purchase!A:I,9,0)</f>
        <v>#N/A</v>
      </c>
      <c r="D121" s="5" t="e">
        <f>VLOOKUP(B121,Purchase!A:B,2,0)</f>
        <v>#N/A</v>
      </c>
      <c r="E121" t="s">
        <v>7</v>
      </c>
      <c r="F121">
        <v>2.5</v>
      </c>
      <c r="G121" s="2" t="e">
        <f>VLOOKUP(B121,Purchase!A:C,3,0)</f>
        <v>#N/A</v>
      </c>
      <c r="H121" s="2" t="e">
        <f>VLOOKUP(G121,ProductList!A:B,2,0)</f>
        <v>#N/A</v>
      </c>
    </row>
    <row r="122" spans="1:8" hidden="1">
      <c r="A122">
        <v>121</v>
      </c>
      <c r="B122">
        <v>121</v>
      </c>
      <c r="C122" s="2" t="e">
        <f>VLOOKUP(B122,Purchase!A:I,9,0)</f>
        <v>#N/A</v>
      </c>
      <c r="D122" s="5" t="e">
        <f>VLOOKUP(B122,Purchase!A:B,2,0)</f>
        <v>#N/A</v>
      </c>
      <c r="E122" t="s">
        <v>6</v>
      </c>
      <c r="F122">
        <v>3</v>
      </c>
      <c r="G122" s="2" t="e">
        <f>VLOOKUP(B122,Purchase!A:C,3,0)</f>
        <v>#N/A</v>
      </c>
      <c r="H122" s="2" t="e">
        <f>VLOOKUP(G122,ProductList!A:B,2,0)</f>
        <v>#N/A</v>
      </c>
    </row>
    <row r="123" spans="1:8" hidden="1">
      <c r="A123">
        <v>122</v>
      </c>
      <c r="B123">
        <v>122</v>
      </c>
      <c r="C123" s="2" t="e">
        <f>VLOOKUP(B123,Purchase!A:I,9,0)</f>
        <v>#N/A</v>
      </c>
      <c r="D123" s="5" t="e">
        <f>VLOOKUP(B123,Purchase!A:B,2,0)</f>
        <v>#N/A</v>
      </c>
      <c r="E123" t="s">
        <v>8</v>
      </c>
      <c r="F123">
        <v>3.5</v>
      </c>
      <c r="G123" s="2" t="e">
        <f>VLOOKUP(B123,Purchase!A:C,3,0)</f>
        <v>#N/A</v>
      </c>
      <c r="H123" s="2" t="e">
        <f>VLOOKUP(G123,ProductList!A:B,2,0)</f>
        <v>#N/A</v>
      </c>
    </row>
    <row r="124" spans="1:8" hidden="1">
      <c r="A124">
        <v>123</v>
      </c>
      <c r="B124">
        <v>123</v>
      </c>
      <c r="C124" s="2" t="e">
        <f>VLOOKUP(B124,Purchase!A:I,9,0)</f>
        <v>#N/A</v>
      </c>
      <c r="D124" s="5" t="e">
        <f>VLOOKUP(B124,Purchase!A:B,2,0)</f>
        <v>#N/A</v>
      </c>
      <c r="E124" t="s">
        <v>8</v>
      </c>
      <c r="F124">
        <v>4</v>
      </c>
      <c r="G124" s="2" t="e">
        <f>VLOOKUP(B124,Purchase!A:C,3,0)</f>
        <v>#N/A</v>
      </c>
      <c r="H124" s="2" t="e">
        <f>VLOOKUP(G124,ProductList!A:B,2,0)</f>
        <v>#N/A</v>
      </c>
    </row>
    <row r="125" spans="1:8" hidden="1">
      <c r="A125">
        <v>124</v>
      </c>
      <c r="B125">
        <v>124</v>
      </c>
      <c r="C125" s="2" t="e">
        <f>VLOOKUP(B125,Purchase!A:I,9,0)</f>
        <v>#N/A</v>
      </c>
      <c r="D125" s="5" t="e">
        <f>VLOOKUP(B125,Purchase!A:B,2,0)</f>
        <v>#N/A</v>
      </c>
      <c r="E125" t="s">
        <v>7</v>
      </c>
      <c r="F125">
        <v>4.5</v>
      </c>
      <c r="G125" s="2" t="e">
        <f>VLOOKUP(B125,Purchase!A:C,3,0)</f>
        <v>#N/A</v>
      </c>
      <c r="H125" s="2" t="e">
        <f>VLOOKUP(G125,ProductList!A:B,2,0)</f>
        <v>#N/A</v>
      </c>
    </row>
    <row r="126" spans="1:8" hidden="1">
      <c r="A126">
        <v>125</v>
      </c>
      <c r="B126">
        <v>125</v>
      </c>
      <c r="C126" s="2" t="e">
        <f>VLOOKUP(B126,Purchase!A:I,9,0)</f>
        <v>#N/A</v>
      </c>
      <c r="D126" s="5" t="e">
        <f>VLOOKUP(B126,Purchase!A:B,2,0)</f>
        <v>#N/A</v>
      </c>
      <c r="E126" t="s">
        <v>5</v>
      </c>
      <c r="F126">
        <v>5</v>
      </c>
      <c r="G126" s="2" t="e">
        <f>VLOOKUP(B126,Purchase!A:C,3,0)</f>
        <v>#N/A</v>
      </c>
      <c r="H126" s="2" t="e">
        <f>VLOOKUP(G126,ProductList!A:B,2,0)</f>
        <v>#N/A</v>
      </c>
    </row>
    <row r="127" spans="1:8" hidden="1">
      <c r="A127">
        <v>126</v>
      </c>
      <c r="B127">
        <v>126</v>
      </c>
      <c r="C127" s="2" t="e">
        <f>VLOOKUP(B127,Purchase!A:I,9,0)</f>
        <v>#N/A</v>
      </c>
      <c r="D127" s="5" t="e">
        <f>VLOOKUP(B127,Purchase!A:B,2,0)</f>
        <v>#N/A</v>
      </c>
      <c r="E127" t="s">
        <v>6</v>
      </c>
      <c r="F127">
        <v>1</v>
      </c>
      <c r="G127" s="2" t="e">
        <f>VLOOKUP(B127,Purchase!A:C,3,0)</f>
        <v>#N/A</v>
      </c>
      <c r="H127" s="2" t="e">
        <f>VLOOKUP(G127,ProductList!A:B,2,0)</f>
        <v>#N/A</v>
      </c>
    </row>
    <row r="128" spans="1:8" hidden="1">
      <c r="A128">
        <v>127</v>
      </c>
      <c r="B128">
        <v>127</v>
      </c>
      <c r="C128" s="2" t="e">
        <f>VLOOKUP(B128,Purchase!A:I,9,0)</f>
        <v>#N/A</v>
      </c>
      <c r="D128" s="5" t="e">
        <f>VLOOKUP(B128,Purchase!A:B,2,0)</f>
        <v>#N/A</v>
      </c>
      <c r="E128" t="s">
        <v>8</v>
      </c>
      <c r="F128">
        <v>1.5</v>
      </c>
      <c r="G128" s="2" t="e">
        <f>VLOOKUP(B128,Purchase!A:C,3,0)</f>
        <v>#N/A</v>
      </c>
      <c r="H128" s="2" t="e">
        <f>VLOOKUP(G128,ProductList!A:B,2,0)</f>
        <v>#N/A</v>
      </c>
    </row>
    <row r="129" spans="1:8" hidden="1">
      <c r="A129">
        <v>128</v>
      </c>
      <c r="B129">
        <v>128</v>
      </c>
      <c r="C129" s="2" t="e">
        <f>VLOOKUP(B129,Purchase!A:I,9,0)</f>
        <v>#N/A</v>
      </c>
      <c r="D129" s="5" t="e">
        <f>VLOOKUP(B129,Purchase!A:B,2,0)</f>
        <v>#N/A</v>
      </c>
      <c r="E129" t="s">
        <v>5</v>
      </c>
      <c r="F129">
        <v>2</v>
      </c>
      <c r="G129" s="2" t="e">
        <f>VLOOKUP(B129,Purchase!A:C,3,0)</f>
        <v>#N/A</v>
      </c>
      <c r="H129" s="2" t="e">
        <f>VLOOKUP(G129,ProductList!A:B,2,0)</f>
        <v>#N/A</v>
      </c>
    </row>
    <row r="130" spans="1:8" hidden="1">
      <c r="A130">
        <v>129</v>
      </c>
      <c r="B130">
        <v>129</v>
      </c>
      <c r="C130" s="2" t="e">
        <f>VLOOKUP(B130,Purchase!A:I,9,0)</f>
        <v>#N/A</v>
      </c>
      <c r="D130" s="5" t="e">
        <f>VLOOKUP(B130,Purchase!A:B,2,0)</f>
        <v>#N/A</v>
      </c>
      <c r="E130" t="s">
        <v>6</v>
      </c>
      <c r="F130">
        <v>2.5</v>
      </c>
      <c r="G130" s="2" t="e">
        <f>VLOOKUP(B130,Purchase!A:C,3,0)</f>
        <v>#N/A</v>
      </c>
      <c r="H130" s="2" t="e">
        <f>VLOOKUP(G130,ProductList!A:B,2,0)</f>
        <v>#N/A</v>
      </c>
    </row>
    <row r="131" spans="1:8" hidden="1">
      <c r="A131">
        <v>130</v>
      </c>
      <c r="B131">
        <v>130</v>
      </c>
      <c r="C131" s="2" t="e">
        <f>VLOOKUP(B131,Purchase!A:I,9,0)</f>
        <v>#N/A</v>
      </c>
      <c r="D131" s="5" t="e">
        <f>VLOOKUP(B131,Purchase!A:B,2,0)</f>
        <v>#N/A</v>
      </c>
      <c r="E131" t="s">
        <v>8</v>
      </c>
      <c r="F131">
        <v>3</v>
      </c>
      <c r="G131" s="2" t="e">
        <f>VLOOKUP(B131,Purchase!A:C,3,0)</f>
        <v>#N/A</v>
      </c>
      <c r="H131" s="2" t="e">
        <f>VLOOKUP(G131,ProductList!A:B,2,0)</f>
        <v>#N/A</v>
      </c>
    </row>
    <row r="132" spans="1:8" hidden="1">
      <c r="A132">
        <v>131</v>
      </c>
      <c r="B132">
        <v>131</v>
      </c>
      <c r="C132" s="2" t="e">
        <f>VLOOKUP(B132,Purchase!A:I,9,0)</f>
        <v>#N/A</v>
      </c>
      <c r="D132" s="5" t="e">
        <f>VLOOKUP(B132,Purchase!A:B,2,0)</f>
        <v>#N/A</v>
      </c>
      <c r="E132" t="s">
        <v>4</v>
      </c>
      <c r="F132">
        <v>3.5</v>
      </c>
      <c r="G132" s="2" t="e">
        <f>VLOOKUP(B132,Purchase!A:C,3,0)</f>
        <v>#N/A</v>
      </c>
      <c r="H132" s="2" t="e">
        <f>VLOOKUP(G132,ProductList!A:B,2,0)</f>
        <v>#N/A</v>
      </c>
    </row>
    <row r="133" spans="1:8" hidden="1">
      <c r="A133">
        <v>132</v>
      </c>
      <c r="B133">
        <v>132</v>
      </c>
      <c r="C133" s="2" t="e">
        <f>VLOOKUP(B133,Purchase!A:I,9,0)</f>
        <v>#N/A</v>
      </c>
      <c r="D133" s="5" t="e">
        <f>VLOOKUP(B133,Purchase!A:B,2,0)</f>
        <v>#N/A</v>
      </c>
      <c r="E133" t="s">
        <v>4</v>
      </c>
      <c r="F133">
        <v>4</v>
      </c>
      <c r="G133" s="2" t="e">
        <f>VLOOKUP(B133,Purchase!A:C,3,0)</f>
        <v>#N/A</v>
      </c>
      <c r="H133" s="2" t="e">
        <f>VLOOKUP(G133,ProductList!A:B,2,0)</f>
        <v>#N/A</v>
      </c>
    </row>
    <row r="134" spans="1:8" hidden="1">
      <c r="A134">
        <v>133</v>
      </c>
      <c r="B134">
        <v>133</v>
      </c>
      <c r="C134" s="2" t="e">
        <f>VLOOKUP(B134,Purchase!A:I,9,0)</f>
        <v>#N/A</v>
      </c>
      <c r="D134" s="5" t="e">
        <f>VLOOKUP(B134,Purchase!A:B,2,0)</f>
        <v>#N/A</v>
      </c>
      <c r="E134" t="s">
        <v>6</v>
      </c>
      <c r="F134">
        <v>4.5</v>
      </c>
      <c r="G134" s="2" t="e">
        <f>VLOOKUP(B134,Purchase!A:C,3,0)</f>
        <v>#N/A</v>
      </c>
      <c r="H134" s="2" t="e">
        <f>VLOOKUP(G134,ProductList!A:B,2,0)</f>
        <v>#N/A</v>
      </c>
    </row>
    <row r="135" spans="1:8" hidden="1">
      <c r="A135">
        <v>134</v>
      </c>
      <c r="B135">
        <v>134</v>
      </c>
      <c r="C135" s="2" t="e">
        <f>VLOOKUP(B135,Purchase!A:I,9,0)</f>
        <v>#N/A</v>
      </c>
      <c r="D135" s="5" t="e">
        <f>VLOOKUP(B135,Purchase!A:B,2,0)</f>
        <v>#N/A</v>
      </c>
      <c r="E135" t="s">
        <v>8</v>
      </c>
      <c r="F135">
        <v>5</v>
      </c>
      <c r="G135" s="2" t="e">
        <f>VLOOKUP(B135,Purchase!A:C,3,0)</f>
        <v>#N/A</v>
      </c>
      <c r="H135" s="2" t="e">
        <f>VLOOKUP(G135,ProductList!A:B,2,0)</f>
        <v>#N/A</v>
      </c>
    </row>
    <row r="136" spans="1:8" hidden="1">
      <c r="A136">
        <v>135</v>
      </c>
      <c r="B136">
        <v>135</v>
      </c>
      <c r="C136" s="2" t="e">
        <f>VLOOKUP(B136,Purchase!A:I,9,0)</f>
        <v>#N/A</v>
      </c>
      <c r="D136" s="5" t="e">
        <f>VLOOKUP(B136,Purchase!A:B,2,0)</f>
        <v>#N/A</v>
      </c>
      <c r="E136" t="s">
        <v>7</v>
      </c>
      <c r="F136">
        <v>0</v>
      </c>
      <c r="G136" s="2" t="e">
        <f>VLOOKUP(B136,Purchase!A:C,3,0)</f>
        <v>#N/A</v>
      </c>
      <c r="H136" s="2" t="e">
        <f>VLOOKUP(G136,ProductList!A:B,2,0)</f>
        <v>#N/A</v>
      </c>
    </row>
    <row r="137" spans="1:8" hidden="1">
      <c r="A137">
        <v>136</v>
      </c>
      <c r="B137">
        <v>136</v>
      </c>
      <c r="C137" s="2" t="e">
        <f>VLOOKUP(B137,Purchase!A:I,9,0)</f>
        <v>#N/A</v>
      </c>
      <c r="D137" s="5" t="e">
        <f>VLOOKUP(B137,Purchase!A:B,2,0)</f>
        <v>#N/A</v>
      </c>
      <c r="E137" t="s">
        <v>7</v>
      </c>
      <c r="F137">
        <v>1</v>
      </c>
      <c r="G137" s="2" t="e">
        <f>VLOOKUP(B137,Purchase!A:C,3,0)</f>
        <v>#N/A</v>
      </c>
      <c r="H137" s="2" t="e">
        <f>VLOOKUP(G137,ProductList!A:B,2,0)</f>
        <v>#N/A</v>
      </c>
    </row>
    <row r="138" spans="1:8" hidden="1">
      <c r="A138">
        <v>137</v>
      </c>
      <c r="B138">
        <v>137</v>
      </c>
      <c r="C138" s="2" t="e">
        <f>VLOOKUP(B138,Purchase!A:I,9,0)</f>
        <v>#N/A</v>
      </c>
      <c r="D138" s="5" t="e">
        <f>VLOOKUP(B138,Purchase!A:B,2,0)</f>
        <v>#N/A</v>
      </c>
      <c r="E138" t="s">
        <v>4</v>
      </c>
      <c r="F138">
        <v>1.5</v>
      </c>
      <c r="G138" s="2" t="e">
        <f>VLOOKUP(B138,Purchase!A:C,3,0)</f>
        <v>#N/A</v>
      </c>
      <c r="H138" s="2" t="e">
        <f>VLOOKUP(G138,ProductList!A:B,2,0)</f>
        <v>#N/A</v>
      </c>
    </row>
    <row r="139" spans="1:8" hidden="1">
      <c r="A139">
        <v>138</v>
      </c>
      <c r="B139">
        <v>138</v>
      </c>
      <c r="C139" s="2" t="e">
        <f>VLOOKUP(B139,Purchase!A:I,9,0)</f>
        <v>#N/A</v>
      </c>
      <c r="D139" s="5" t="e">
        <f>VLOOKUP(B139,Purchase!A:B,2,0)</f>
        <v>#N/A</v>
      </c>
      <c r="E139" t="s">
        <v>4</v>
      </c>
      <c r="F139">
        <v>2</v>
      </c>
      <c r="G139" s="2" t="e">
        <f>VLOOKUP(B139,Purchase!A:C,3,0)</f>
        <v>#N/A</v>
      </c>
      <c r="H139" s="2" t="e">
        <f>VLOOKUP(G139,ProductList!A:B,2,0)</f>
        <v>#N/A</v>
      </c>
    </row>
    <row r="140" spans="1:8" hidden="1">
      <c r="A140">
        <v>139</v>
      </c>
      <c r="B140">
        <v>139</v>
      </c>
      <c r="C140" s="2" t="e">
        <f>VLOOKUP(B140,Purchase!A:I,9,0)</f>
        <v>#N/A</v>
      </c>
      <c r="D140" s="5" t="e">
        <f>VLOOKUP(B140,Purchase!A:B,2,0)</f>
        <v>#N/A</v>
      </c>
      <c r="E140" t="s">
        <v>4</v>
      </c>
      <c r="F140">
        <v>2.5</v>
      </c>
      <c r="G140" s="2" t="e">
        <f>VLOOKUP(B140,Purchase!A:C,3,0)</f>
        <v>#N/A</v>
      </c>
      <c r="H140" s="2" t="e">
        <f>VLOOKUP(G140,ProductList!A:B,2,0)</f>
        <v>#N/A</v>
      </c>
    </row>
    <row r="141" spans="1:8" hidden="1">
      <c r="A141">
        <v>140</v>
      </c>
      <c r="B141">
        <v>140</v>
      </c>
      <c r="C141" s="2" t="e">
        <f>VLOOKUP(B141,Purchase!A:I,9,0)</f>
        <v>#N/A</v>
      </c>
      <c r="D141" s="5" t="e">
        <f>VLOOKUP(B141,Purchase!A:B,2,0)</f>
        <v>#N/A</v>
      </c>
      <c r="E141" t="s">
        <v>6</v>
      </c>
      <c r="F141">
        <v>3</v>
      </c>
      <c r="G141" s="2" t="e">
        <f>VLOOKUP(B141,Purchase!A:C,3,0)</f>
        <v>#N/A</v>
      </c>
      <c r="H141" s="2" t="e">
        <f>VLOOKUP(G141,ProductList!A:B,2,0)</f>
        <v>#N/A</v>
      </c>
    </row>
    <row r="142" spans="1:8" hidden="1">
      <c r="A142">
        <v>141</v>
      </c>
      <c r="B142">
        <v>141</v>
      </c>
      <c r="C142" s="2" t="e">
        <f>VLOOKUP(B142,Purchase!A:I,9,0)</f>
        <v>#N/A</v>
      </c>
      <c r="D142" s="5" t="e">
        <f>VLOOKUP(B142,Purchase!A:B,2,0)</f>
        <v>#N/A</v>
      </c>
      <c r="E142" t="s">
        <v>8</v>
      </c>
      <c r="F142">
        <v>3.5</v>
      </c>
      <c r="G142" s="2" t="e">
        <f>VLOOKUP(B142,Purchase!A:C,3,0)</f>
        <v>#N/A</v>
      </c>
      <c r="H142" s="2" t="e">
        <f>VLOOKUP(G142,ProductList!A:B,2,0)</f>
        <v>#N/A</v>
      </c>
    </row>
    <row r="143" spans="1:8" hidden="1">
      <c r="A143">
        <v>142</v>
      </c>
      <c r="B143">
        <v>142</v>
      </c>
      <c r="C143" s="2" t="e">
        <f>VLOOKUP(B143,Purchase!A:I,9,0)</f>
        <v>#N/A</v>
      </c>
      <c r="D143" s="5" t="e">
        <f>VLOOKUP(B143,Purchase!A:B,2,0)</f>
        <v>#N/A</v>
      </c>
      <c r="E143" t="s">
        <v>6</v>
      </c>
      <c r="F143">
        <v>4</v>
      </c>
      <c r="G143" s="2" t="e">
        <f>VLOOKUP(B143,Purchase!A:C,3,0)</f>
        <v>#N/A</v>
      </c>
      <c r="H143" s="2" t="e">
        <f>VLOOKUP(G143,ProductList!A:B,2,0)</f>
        <v>#N/A</v>
      </c>
    </row>
    <row r="144" spans="1:8" hidden="1">
      <c r="A144">
        <v>143</v>
      </c>
      <c r="B144">
        <v>143</v>
      </c>
      <c r="C144" s="2" t="e">
        <f>VLOOKUP(B144,Purchase!A:I,9,0)</f>
        <v>#N/A</v>
      </c>
      <c r="D144" s="5" t="e">
        <f>VLOOKUP(B144,Purchase!A:B,2,0)</f>
        <v>#N/A</v>
      </c>
      <c r="E144" t="s">
        <v>5</v>
      </c>
      <c r="F144">
        <v>4.5</v>
      </c>
      <c r="G144" s="2" t="e">
        <f>VLOOKUP(B144,Purchase!A:C,3,0)</f>
        <v>#N/A</v>
      </c>
      <c r="H144" s="2" t="e">
        <f>VLOOKUP(G144,ProductList!A:B,2,0)</f>
        <v>#N/A</v>
      </c>
    </row>
    <row r="145" spans="1:8" hidden="1">
      <c r="A145">
        <v>144</v>
      </c>
      <c r="B145">
        <v>144</v>
      </c>
      <c r="C145" s="2" t="e">
        <f>VLOOKUP(B145,Purchase!A:I,9,0)</f>
        <v>#N/A</v>
      </c>
      <c r="D145" s="5" t="e">
        <f>VLOOKUP(B145,Purchase!A:B,2,0)</f>
        <v>#N/A</v>
      </c>
      <c r="E145" t="s">
        <v>4</v>
      </c>
      <c r="F145">
        <v>5</v>
      </c>
      <c r="G145" s="2" t="e">
        <f>VLOOKUP(B145,Purchase!A:C,3,0)</f>
        <v>#N/A</v>
      </c>
      <c r="H145" s="2" t="e">
        <f>VLOOKUP(G145,ProductList!A:B,2,0)</f>
        <v>#N/A</v>
      </c>
    </row>
    <row r="146" spans="1:8" hidden="1">
      <c r="A146">
        <v>145</v>
      </c>
      <c r="B146">
        <v>145</v>
      </c>
      <c r="C146" s="2" t="e">
        <f>VLOOKUP(B146,Purchase!A:I,9,0)</f>
        <v>#N/A</v>
      </c>
      <c r="D146" s="5" t="e">
        <f>VLOOKUP(B146,Purchase!A:B,2,0)</f>
        <v>#N/A</v>
      </c>
      <c r="E146" t="s">
        <v>5</v>
      </c>
      <c r="F146">
        <v>0</v>
      </c>
      <c r="G146" s="2" t="e">
        <f>VLOOKUP(B146,Purchase!A:C,3,0)</f>
        <v>#N/A</v>
      </c>
      <c r="H146" s="2" t="e">
        <f>VLOOKUP(G146,ProductList!A:B,2,0)</f>
        <v>#N/A</v>
      </c>
    </row>
    <row r="147" spans="1:8" hidden="1">
      <c r="A147">
        <v>146</v>
      </c>
      <c r="B147">
        <v>146</v>
      </c>
      <c r="C147" s="2" t="e">
        <f>VLOOKUP(B147,Purchase!A:I,9,0)</f>
        <v>#N/A</v>
      </c>
      <c r="D147" s="5" t="e">
        <f>VLOOKUP(B147,Purchase!A:B,2,0)</f>
        <v>#N/A</v>
      </c>
      <c r="E147" t="s">
        <v>5</v>
      </c>
      <c r="F147">
        <v>1</v>
      </c>
      <c r="G147" s="2" t="e">
        <f>VLOOKUP(B147,Purchase!A:C,3,0)</f>
        <v>#N/A</v>
      </c>
      <c r="H147" s="2" t="e">
        <f>VLOOKUP(G147,ProductList!A:B,2,0)</f>
        <v>#N/A</v>
      </c>
    </row>
    <row r="148" spans="1:8" hidden="1">
      <c r="A148">
        <v>147</v>
      </c>
      <c r="B148">
        <v>147</v>
      </c>
      <c r="C148" s="2" t="e">
        <f>VLOOKUP(B148,Purchase!A:I,9,0)</f>
        <v>#N/A</v>
      </c>
      <c r="D148" s="5" t="e">
        <f>VLOOKUP(B148,Purchase!A:B,2,0)</f>
        <v>#N/A</v>
      </c>
      <c r="E148" t="s">
        <v>5</v>
      </c>
      <c r="F148">
        <v>1.5</v>
      </c>
      <c r="G148" s="2" t="e">
        <f>VLOOKUP(B148,Purchase!A:C,3,0)</f>
        <v>#N/A</v>
      </c>
      <c r="H148" s="2" t="e">
        <f>VLOOKUP(G148,ProductList!A:B,2,0)</f>
        <v>#N/A</v>
      </c>
    </row>
    <row r="149" spans="1:8" hidden="1">
      <c r="A149">
        <v>148</v>
      </c>
      <c r="B149">
        <v>148</v>
      </c>
      <c r="C149" s="2" t="e">
        <f>VLOOKUP(B149,Purchase!A:I,9,0)</f>
        <v>#N/A</v>
      </c>
      <c r="D149" s="5" t="e">
        <f>VLOOKUP(B149,Purchase!A:B,2,0)</f>
        <v>#N/A</v>
      </c>
      <c r="E149" t="s">
        <v>8</v>
      </c>
      <c r="F149">
        <v>2</v>
      </c>
      <c r="G149" s="2" t="e">
        <f>VLOOKUP(B149,Purchase!A:C,3,0)</f>
        <v>#N/A</v>
      </c>
      <c r="H149" s="2" t="e">
        <f>VLOOKUP(G149,ProductList!A:B,2,0)</f>
        <v>#N/A</v>
      </c>
    </row>
    <row r="150" spans="1:8" hidden="1">
      <c r="A150">
        <v>149</v>
      </c>
      <c r="B150">
        <v>149</v>
      </c>
      <c r="C150" s="2" t="e">
        <f>VLOOKUP(B150,Purchase!A:I,9,0)</f>
        <v>#N/A</v>
      </c>
      <c r="D150" s="5" t="e">
        <f>VLOOKUP(B150,Purchase!A:B,2,0)</f>
        <v>#N/A</v>
      </c>
      <c r="E150" t="s">
        <v>5</v>
      </c>
      <c r="F150">
        <v>2.5</v>
      </c>
      <c r="G150" s="2" t="e">
        <f>VLOOKUP(B150,Purchase!A:C,3,0)</f>
        <v>#N/A</v>
      </c>
      <c r="H150" s="2" t="e">
        <f>VLOOKUP(G150,ProductList!A:B,2,0)</f>
        <v>#N/A</v>
      </c>
    </row>
    <row r="151" spans="1:8" hidden="1">
      <c r="A151">
        <v>150</v>
      </c>
      <c r="B151">
        <v>150</v>
      </c>
      <c r="C151" s="2" t="e">
        <f>VLOOKUP(B151,Purchase!A:I,9,0)</f>
        <v>#N/A</v>
      </c>
      <c r="D151" s="5" t="e">
        <f>VLOOKUP(B151,Purchase!A:B,2,0)</f>
        <v>#N/A</v>
      </c>
      <c r="E151" t="s">
        <v>5</v>
      </c>
      <c r="F151">
        <v>3</v>
      </c>
      <c r="G151" s="2" t="e">
        <f>VLOOKUP(B151,Purchase!A:C,3,0)</f>
        <v>#N/A</v>
      </c>
      <c r="H151" s="2" t="e">
        <f>VLOOKUP(G151,ProductList!A:B,2,0)</f>
        <v>#N/A</v>
      </c>
    </row>
    <row r="152" spans="1:8" hidden="1">
      <c r="A152">
        <v>151</v>
      </c>
      <c r="B152">
        <v>151</v>
      </c>
      <c r="C152" s="2" t="e">
        <f>VLOOKUP(B152,Purchase!A:I,9,0)</f>
        <v>#N/A</v>
      </c>
      <c r="D152" s="5" t="e">
        <f>VLOOKUP(B152,Purchase!A:B,2,0)</f>
        <v>#N/A</v>
      </c>
      <c r="E152" t="s">
        <v>5</v>
      </c>
      <c r="F152">
        <v>3.5</v>
      </c>
      <c r="G152" s="2" t="e">
        <f>VLOOKUP(B152,Purchase!A:C,3,0)</f>
        <v>#N/A</v>
      </c>
      <c r="H152" s="2" t="e">
        <f>VLOOKUP(G152,ProductList!A:B,2,0)</f>
        <v>#N/A</v>
      </c>
    </row>
    <row r="153" spans="1:8" hidden="1">
      <c r="A153">
        <v>152</v>
      </c>
      <c r="B153">
        <v>152</v>
      </c>
      <c r="C153" s="2" t="e">
        <f>VLOOKUP(B153,Purchase!A:I,9,0)</f>
        <v>#N/A</v>
      </c>
      <c r="D153" s="5" t="e">
        <f>VLOOKUP(B153,Purchase!A:B,2,0)</f>
        <v>#N/A</v>
      </c>
      <c r="E153" t="s">
        <v>4</v>
      </c>
      <c r="F153">
        <v>4</v>
      </c>
      <c r="G153" s="2" t="e">
        <f>VLOOKUP(B153,Purchase!A:C,3,0)</f>
        <v>#N/A</v>
      </c>
      <c r="H153" s="2" t="e">
        <f>VLOOKUP(G153,ProductList!A:B,2,0)</f>
        <v>#N/A</v>
      </c>
    </row>
    <row r="154" spans="1:8" hidden="1">
      <c r="A154">
        <v>153</v>
      </c>
      <c r="B154">
        <v>153</v>
      </c>
      <c r="C154" s="2" t="e">
        <f>VLOOKUP(B154,Purchase!A:I,9,0)</f>
        <v>#N/A</v>
      </c>
      <c r="D154" s="5" t="e">
        <f>VLOOKUP(B154,Purchase!A:B,2,0)</f>
        <v>#N/A</v>
      </c>
      <c r="E154" t="s">
        <v>4</v>
      </c>
      <c r="F154">
        <v>4.5</v>
      </c>
      <c r="G154" s="2" t="e">
        <f>VLOOKUP(B154,Purchase!A:C,3,0)</f>
        <v>#N/A</v>
      </c>
      <c r="H154" s="2" t="e">
        <f>VLOOKUP(G154,ProductList!A:B,2,0)</f>
        <v>#N/A</v>
      </c>
    </row>
    <row r="155" spans="1:8" hidden="1">
      <c r="A155">
        <v>154</v>
      </c>
      <c r="B155">
        <v>154</v>
      </c>
      <c r="C155" s="2" t="e">
        <f>VLOOKUP(B155,Purchase!A:I,9,0)</f>
        <v>#N/A</v>
      </c>
      <c r="D155" s="5" t="e">
        <f>VLOOKUP(B155,Purchase!A:B,2,0)</f>
        <v>#N/A</v>
      </c>
      <c r="E155" t="s">
        <v>4</v>
      </c>
      <c r="F155">
        <v>5</v>
      </c>
      <c r="G155" s="2" t="e">
        <f>VLOOKUP(B155,Purchase!A:C,3,0)</f>
        <v>#N/A</v>
      </c>
      <c r="H155" s="2" t="e">
        <f>VLOOKUP(G155,ProductList!A:B,2,0)</f>
        <v>#N/A</v>
      </c>
    </row>
    <row r="156" spans="1:8" hidden="1">
      <c r="A156">
        <v>155</v>
      </c>
      <c r="B156">
        <v>155</v>
      </c>
      <c r="C156" s="2" t="e">
        <f>VLOOKUP(B156,Purchase!A:I,9,0)</f>
        <v>#N/A</v>
      </c>
      <c r="D156" s="5" t="e">
        <f>VLOOKUP(B156,Purchase!A:B,2,0)</f>
        <v>#N/A</v>
      </c>
      <c r="E156" t="s">
        <v>4</v>
      </c>
      <c r="F156">
        <v>0</v>
      </c>
      <c r="G156" s="2" t="e">
        <f>VLOOKUP(B156,Purchase!A:C,3,0)</f>
        <v>#N/A</v>
      </c>
      <c r="H156" s="2" t="e">
        <f>VLOOKUP(G156,ProductList!A:B,2,0)</f>
        <v>#N/A</v>
      </c>
    </row>
    <row r="157" spans="1:8" hidden="1">
      <c r="A157">
        <v>156</v>
      </c>
      <c r="B157">
        <v>156</v>
      </c>
      <c r="C157" s="2" t="e">
        <f>VLOOKUP(B157,Purchase!A:I,9,0)</f>
        <v>#N/A</v>
      </c>
      <c r="D157" s="5" t="e">
        <f>VLOOKUP(B157,Purchase!A:B,2,0)</f>
        <v>#N/A</v>
      </c>
      <c r="E157" t="s">
        <v>5</v>
      </c>
      <c r="F157">
        <v>1</v>
      </c>
      <c r="G157" s="2" t="e">
        <f>VLOOKUP(B157,Purchase!A:C,3,0)</f>
        <v>#N/A</v>
      </c>
      <c r="H157" s="2" t="e">
        <f>VLOOKUP(G157,ProductList!A:B,2,0)</f>
        <v>#N/A</v>
      </c>
    </row>
    <row r="158" spans="1:8" hidden="1">
      <c r="A158">
        <v>157</v>
      </c>
      <c r="B158">
        <v>157</v>
      </c>
      <c r="C158" s="2" t="e">
        <f>VLOOKUP(B158,Purchase!A:I,9,0)</f>
        <v>#N/A</v>
      </c>
      <c r="D158" s="5" t="e">
        <f>VLOOKUP(B158,Purchase!A:B,2,0)</f>
        <v>#N/A</v>
      </c>
      <c r="E158" t="s">
        <v>8</v>
      </c>
      <c r="F158">
        <v>1.5</v>
      </c>
      <c r="G158" s="2" t="e">
        <f>VLOOKUP(B158,Purchase!A:C,3,0)</f>
        <v>#N/A</v>
      </c>
      <c r="H158" s="2" t="e">
        <f>VLOOKUP(G158,ProductList!A:B,2,0)</f>
        <v>#N/A</v>
      </c>
    </row>
    <row r="159" spans="1:8" hidden="1">
      <c r="A159">
        <v>158</v>
      </c>
      <c r="B159">
        <v>158</v>
      </c>
      <c r="C159" s="2" t="e">
        <f>VLOOKUP(B159,Purchase!A:I,9,0)</f>
        <v>#N/A</v>
      </c>
      <c r="D159" s="5" t="e">
        <f>VLOOKUP(B159,Purchase!A:B,2,0)</f>
        <v>#N/A</v>
      </c>
      <c r="E159" t="s">
        <v>6</v>
      </c>
      <c r="F159">
        <v>2</v>
      </c>
      <c r="G159" s="2" t="e">
        <f>VLOOKUP(B159,Purchase!A:C,3,0)</f>
        <v>#N/A</v>
      </c>
      <c r="H159" s="2" t="e">
        <f>VLOOKUP(G159,ProductList!A:B,2,0)</f>
        <v>#N/A</v>
      </c>
    </row>
    <row r="160" spans="1:8" hidden="1">
      <c r="A160">
        <v>159</v>
      </c>
      <c r="B160">
        <v>159</v>
      </c>
      <c r="C160" s="2" t="e">
        <f>VLOOKUP(B160,Purchase!A:I,9,0)</f>
        <v>#N/A</v>
      </c>
      <c r="D160" s="5" t="e">
        <f>VLOOKUP(B160,Purchase!A:B,2,0)</f>
        <v>#N/A</v>
      </c>
      <c r="E160" t="s">
        <v>6</v>
      </c>
      <c r="F160">
        <v>2.5</v>
      </c>
      <c r="G160" s="2" t="e">
        <f>VLOOKUP(B160,Purchase!A:C,3,0)</f>
        <v>#N/A</v>
      </c>
      <c r="H160" s="2" t="e">
        <f>VLOOKUP(G160,ProductList!A:B,2,0)</f>
        <v>#N/A</v>
      </c>
    </row>
    <row r="161" spans="1:8" hidden="1">
      <c r="A161">
        <v>160</v>
      </c>
      <c r="B161">
        <v>160</v>
      </c>
      <c r="C161" s="2" t="e">
        <f>VLOOKUP(B161,Purchase!A:I,9,0)</f>
        <v>#N/A</v>
      </c>
      <c r="D161" s="5" t="e">
        <f>VLOOKUP(B161,Purchase!A:B,2,0)</f>
        <v>#N/A</v>
      </c>
      <c r="E161" t="s">
        <v>4</v>
      </c>
      <c r="F161">
        <v>3</v>
      </c>
      <c r="G161" s="2" t="e">
        <f>VLOOKUP(B161,Purchase!A:C,3,0)</f>
        <v>#N/A</v>
      </c>
      <c r="H161" s="2" t="e">
        <f>VLOOKUP(G161,ProductList!A:B,2,0)</f>
        <v>#N/A</v>
      </c>
    </row>
    <row r="162" spans="1:8" hidden="1">
      <c r="A162">
        <v>161</v>
      </c>
      <c r="B162">
        <v>161</v>
      </c>
      <c r="C162" s="2" t="e">
        <f>VLOOKUP(B162,Purchase!A:I,9,0)</f>
        <v>#N/A</v>
      </c>
      <c r="D162" s="5" t="e">
        <f>VLOOKUP(B162,Purchase!A:B,2,0)</f>
        <v>#N/A</v>
      </c>
      <c r="E162" t="s">
        <v>4</v>
      </c>
      <c r="F162">
        <v>3.5</v>
      </c>
      <c r="G162" s="2" t="e">
        <f>VLOOKUP(B162,Purchase!A:C,3,0)</f>
        <v>#N/A</v>
      </c>
      <c r="H162" s="2" t="e">
        <f>VLOOKUP(G162,ProductList!A:B,2,0)</f>
        <v>#N/A</v>
      </c>
    </row>
    <row r="163" spans="1:8" hidden="1">
      <c r="A163">
        <v>162</v>
      </c>
      <c r="B163">
        <v>162</v>
      </c>
      <c r="C163" s="2" t="e">
        <f>VLOOKUP(B163,Purchase!A:I,9,0)</f>
        <v>#N/A</v>
      </c>
      <c r="D163" s="5" t="e">
        <f>VLOOKUP(B163,Purchase!A:B,2,0)</f>
        <v>#N/A</v>
      </c>
      <c r="E163" t="s">
        <v>8</v>
      </c>
      <c r="F163">
        <v>4</v>
      </c>
      <c r="G163" s="2" t="e">
        <f>VLOOKUP(B163,Purchase!A:C,3,0)</f>
        <v>#N/A</v>
      </c>
      <c r="H163" s="2" t="e">
        <f>VLOOKUP(G163,ProductList!A:B,2,0)</f>
        <v>#N/A</v>
      </c>
    </row>
    <row r="164" spans="1:8" hidden="1">
      <c r="A164">
        <v>163</v>
      </c>
      <c r="B164">
        <v>163</v>
      </c>
      <c r="C164" s="2" t="e">
        <f>VLOOKUP(B164,Purchase!A:I,9,0)</f>
        <v>#N/A</v>
      </c>
      <c r="D164" s="5" t="e">
        <f>VLOOKUP(B164,Purchase!A:B,2,0)</f>
        <v>#N/A</v>
      </c>
      <c r="E164" t="s">
        <v>6</v>
      </c>
      <c r="F164">
        <v>4.5</v>
      </c>
      <c r="G164" s="2" t="e">
        <f>VLOOKUP(B164,Purchase!A:C,3,0)</f>
        <v>#N/A</v>
      </c>
      <c r="H164" s="2" t="e">
        <f>VLOOKUP(G164,ProductList!A:B,2,0)</f>
        <v>#N/A</v>
      </c>
    </row>
    <row r="165" spans="1:8" hidden="1">
      <c r="A165">
        <v>164</v>
      </c>
      <c r="B165">
        <v>164</v>
      </c>
      <c r="C165" s="2" t="e">
        <f>VLOOKUP(B165,Purchase!A:I,9,0)</f>
        <v>#N/A</v>
      </c>
      <c r="D165" s="5" t="e">
        <f>VLOOKUP(B165,Purchase!A:B,2,0)</f>
        <v>#N/A</v>
      </c>
      <c r="E165" t="s">
        <v>5</v>
      </c>
      <c r="F165">
        <v>5</v>
      </c>
      <c r="G165" s="2" t="e">
        <f>VLOOKUP(B165,Purchase!A:C,3,0)</f>
        <v>#N/A</v>
      </c>
      <c r="H165" s="2" t="e">
        <f>VLOOKUP(G165,ProductList!A:B,2,0)</f>
        <v>#N/A</v>
      </c>
    </row>
    <row r="166" spans="1:8" hidden="1">
      <c r="A166">
        <v>165</v>
      </c>
      <c r="B166">
        <v>165</v>
      </c>
      <c r="C166" s="2" t="e">
        <f>VLOOKUP(B166,Purchase!A:I,9,0)</f>
        <v>#N/A</v>
      </c>
      <c r="D166" s="5" t="e">
        <f>VLOOKUP(B166,Purchase!A:B,2,0)</f>
        <v>#N/A</v>
      </c>
      <c r="E166" t="s">
        <v>6</v>
      </c>
      <c r="F166">
        <v>0</v>
      </c>
      <c r="G166" s="2" t="e">
        <f>VLOOKUP(B166,Purchase!A:C,3,0)</f>
        <v>#N/A</v>
      </c>
      <c r="H166" s="2" t="e">
        <f>VLOOKUP(G166,ProductList!A:B,2,0)</f>
        <v>#N/A</v>
      </c>
    </row>
    <row r="167" spans="1:8" hidden="1">
      <c r="A167">
        <v>166</v>
      </c>
      <c r="B167">
        <v>166</v>
      </c>
      <c r="C167" s="2" t="e">
        <f>VLOOKUP(B167,Purchase!A:I,9,0)</f>
        <v>#N/A</v>
      </c>
      <c r="D167" s="5" t="e">
        <f>VLOOKUP(B167,Purchase!A:B,2,0)</f>
        <v>#N/A</v>
      </c>
      <c r="E167" t="s">
        <v>7</v>
      </c>
      <c r="F167">
        <v>1</v>
      </c>
      <c r="G167" s="2" t="e">
        <f>VLOOKUP(B167,Purchase!A:C,3,0)</f>
        <v>#N/A</v>
      </c>
      <c r="H167" s="2" t="e">
        <f>VLOOKUP(G167,ProductList!A:B,2,0)</f>
        <v>#N/A</v>
      </c>
    </row>
    <row r="168" spans="1:8" hidden="1">
      <c r="A168">
        <v>167</v>
      </c>
      <c r="B168">
        <v>167</v>
      </c>
      <c r="C168" s="2" t="e">
        <f>VLOOKUP(B168,Purchase!A:I,9,0)</f>
        <v>#N/A</v>
      </c>
      <c r="D168" s="5" t="e">
        <f>VLOOKUP(B168,Purchase!A:B,2,0)</f>
        <v>#N/A</v>
      </c>
      <c r="E168" t="s">
        <v>7</v>
      </c>
      <c r="F168">
        <v>1.5</v>
      </c>
      <c r="G168" s="2" t="e">
        <f>VLOOKUP(B168,Purchase!A:C,3,0)</f>
        <v>#N/A</v>
      </c>
      <c r="H168" s="2" t="e">
        <f>VLOOKUP(G168,ProductList!A:B,2,0)</f>
        <v>#N/A</v>
      </c>
    </row>
    <row r="169" spans="1:8" hidden="1">
      <c r="A169">
        <v>168</v>
      </c>
      <c r="B169">
        <v>168</v>
      </c>
      <c r="C169" s="2" t="e">
        <f>VLOOKUP(B169,Purchase!A:I,9,0)</f>
        <v>#N/A</v>
      </c>
      <c r="D169" s="5" t="e">
        <f>VLOOKUP(B169,Purchase!A:B,2,0)</f>
        <v>#N/A</v>
      </c>
      <c r="E169" t="s">
        <v>6</v>
      </c>
      <c r="F169">
        <v>2</v>
      </c>
      <c r="G169" s="2" t="e">
        <f>VLOOKUP(B169,Purchase!A:C,3,0)</f>
        <v>#N/A</v>
      </c>
      <c r="H169" s="2" t="e">
        <f>VLOOKUP(G169,ProductList!A:B,2,0)</f>
        <v>#N/A</v>
      </c>
    </row>
    <row r="170" spans="1:8" hidden="1">
      <c r="A170">
        <v>169</v>
      </c>
      <c r="B170">
        <v>169</v>
      </c>
      <c r="C170" s="2" t="e">
        <f>VLOOKUP(B170,Purchase!A:I,9,0)</f>
        <v>#N/A</v>
      </c>
      <c r="D170" s="5" t="e">
        <f>VLOOKUP(B170,Purchase!A:B,2,0)</f>
        <v>#N/A</v>
      </c>
      <c r="E170" t="s">
        <v>5</v>
      </c>
      <c r="F170">
        <v>2.5</v>
      </c>
      <c r="G170" s="2" t="e">
        <f>VLOOKUP(B170,Purchase!A:C,3,0)</f>
        <v>#N/A</v>
      </c>
      <c r="H170" s="2" t="e">
        <f>VLOOKUP(G170,ProductList!A:B,2,0)</f>
        <v>#N/A</v>
      </c>
    </row>
    <row r="171" spans="1:8" hidden="1">
      <c r="A171">
        <v>170</v>
      </c>
      <c r="B171">
        <v>170</v>
      </c>
      <c r="C171" s="2" t="e">
        <f>VLOOKUP(B171,Purchase!A:I,9,0)</f>
        <v>#N/A</v>
      </c>
      <c r="D171" s="5" t="e">
        <f>VLOOKUP(B171,Purchase!A:B,2,0)</f>
        <v>#N/A</v>
      </c>
      <c r="E171" t="s">
        <v>8</v>
      </c>
      <c r="F171">
        <v>3</v>
      </c>
      <c r="G171" s="2" t="e">
        <f>VLOOKUP(B171,Purchase!A:C,3,0)</f>
        <v>#N/A</v>
      </c>
      <c r="H171" s="2" t="e">
        <f>VLOOKUP(G171,ProductList!A:B,2,0)</f>
        <v>#N/A</v>
      </c>
    </row>
    <row r="172" spans="1:8" hidden="1">
      <c r="A172">
        <v>171</v>
      </c>
      <c r="B172">
        <v>171</v>
      </c>
      <c r="C172" s="2" t="e">
        <f>VLOOKUP(B172,Purchase!A:I,9,0)</f>
        <v>#N/A</v>
      </c>
      <c r="D172" s="5" t="e">
        <f>VLOOKUP(B172,Purchase!A:B,2,0)</f>
        <v>#N/A</v>
      </c>
      <c r="E172" t="s">
        <v>6</v>
      </c>
      <c r="F172">
        <v>3.5</v>
      </c>
      <c r="G172" s="2" t="e">
        <f>VLOOKUP(B172,Purchase!A:C,3,0)</f>
        <v>#N/A</v>
      </c>
      <c r="H172" s="2" t="e">
        <f>VLOOKUP(G172,ProductList!A:B,2,0)</f>
        <v>#N/A</v>
      </c>
    </row>
    <row r="173" spans="1:8" hidden="1">
      <c r="A173">
        <v>172</v>
      </c>
      <c r="B173">
        <v>172</v>
      </c>
      <c r="C173" s="2" t="e">
        <f>VLOOKUP(B173,Purchase!A:I,9,0)</f>
        <v>#N/A</v>
      </c>
      <c r="D173" s="5" t="e">
        <f>VLOOKUP(B173,Purchase!A:B,2,0)</f>
        <v>#N/A</v>
      </c>
      <c r="E173" t="s">
        <v>8</v>
      </c>
      <c r="F173">
        <v>4</v>
      </c>
      <c r="G173" s="2" t="e">
        <f>VLOOKUP(B173,Purchase!A:C,3,0)</f>
        <v>#N/A</v>
      </c>
      <c r="H173" s="2" t="e">
        <f>VLOOKUP(G173,ProductList!A:B,2,0)</f>
        <v>#N/A</v>
      </c>
    </row>
    <row r="174" spans="1:8" hidden="1">
      <c r="A174">
        <v>173</v>
      </c>
      <c r="B174">
        <v>173</v>
      </c>
      <c r="C174" s="2" t="e">
        <f>VLOOKUP(B174,Purchase!A:I,9,0)</f>
        <v>#N/A</v>
      </c>
      <c r="D174" s="5" t="e">
        <f>VLOOKUP(B174,Purchase!A:B,2,0)</f>
        <v>#N/A</v>
      </c>
      <c r="E174" t="s">
        <v>8</v>
      </c>
      <c r="F174">
        <v>4.5</v>
      </c>
      <c r="G174" s="2" t="e">
        <f>VLOOKUP(B174,Purchase!A:C,3,0)</f>
        <v>#N/A</v>
      </c>
      <c r="H174" s="2" t="e">
        <f>VLOOKUP(G174,ProductList!A:B,2,0)</f>
        <v>#N/A</v>
      </c>
    </row>
    <row r="175" spans="1:8" hidden="1">
      <c r="A175">
        <v>174</v>
      </c>
      <c r="B175">
        <v>174</v>
      </c>
      <c r="C175" s="2" t="e">
        <f>VLOOKUP(B175,Purchase!A:I,9,0)</f>
        <v>#N/A</v>
      </c>
      <c r="D175" s="5" t="e">
        <f>VLOOKUP(B175,Purchase!A:B,2,0)</f>
        <v>#N/A</v>
      </c>
      <c r="E175" t="s">
        <v>7</v>
      </c>
      <c r="F175">
        <v>5</v>
      </c>
      <c r="G175" s="2" t="e">
        <f>VLOOKUP(B175,Purchase!A:C,3,0)</f>
        <v>#N/A</v>
      </c>
      <c r="H175" s="2" t="e">
        <f>VLOOKUP(G175,ProductList!A:B,2,0)</f>
        <v>#N/A</v>
      </c>
    </row>
    <row r="176" spans="1:8" hidden="1">
      <c r="A176">
        <v>175</v>
      </c>
      <c r="B176">
        <v>175</v>
      </c>
      <c r="C176" s="2" t="e">
        <f>VLOOKUP(B176,Purchase!A:I,9,0)</f>
        <v>#N/A</v>
      </c>
      <c r="D176" s="5" t="e">
        <f>VLOOKUP(B176,Purchase!A:B,2,0)</f>
        <v>#N/A</v>
      </c>
      <c r="E176" t="s">
        <v>8</v>
      </c>
      <c r="F176">
        <v>0</v>
      </c>
      <c r="G176" s="2" t="e">
        <f>VLOOKUP(B176,Purchase!A:C,3,0)</f>
        <v>#N/A</v>
      </c>
      <c r="H176" s="2" t="e">
        <f>VLOOKUP(G176,ProductList!A:B,2,0)</f>
        <v>#N/A</v>
      </c>
    </row>
    <row r="177" spans="1:8" hidden="1">
      <c r="A177">
        <v>176</v>
      </c>
      <c r="B177">
        <v>176</v>
      </c>
      <c r="C177" s="2" t="e">
        <f>VLOOKUP(B177,Purchase!A:I,9,0)</f>
        <v>#N/A</v>
      </c>
      <c r="D177" s="5" t="e">
        <f>VLOOKUP(B177,Purchase!A:B,2,0)</f>
        <v>#N/A</v>
      </c>
      <c r="E177" t="s">
        <v>6</v>
      </c>
      <c r="F177">
        <v>1</v>
      </c>
      <c r="G177" s="2" t="e">
        <f>VLOOKUP(B177,Purchase!A:C,3,0)</f>
        <v>#N/A</v>
      </c>
      <c r="H177" s="2" t="e">
        <f>VLOOKUP(G177,ProductList!A:B,2,0)</f>
        <v>#N/A</v>
      </c>
    </row>
    <row r="178" spans="1:8" hidden="1">
      <c r="A178">
        <v>177</v>
      </c>
      <c r="B178">
        <v>177</v>
      </c>
      <c r="C178" s="2" t="e">
        <f>VLOOKUP(B178,Purchase!A:I,9,0)</f>
        <v>#N/A</v>
      </c>
      <c r="D178" s="5" t="e">
        <f>VLOOKUP(B178,Purchase!A:B,2,0)</f>
        <v>#N/A</v>
      </c>
      <c r="E178" t="s">
        <v>5</v>
      </c>
      <c r="F178">
        <v>1.5</v>
      </c>
      <c r="G178" s="2" t="e">
        <f>VLOOKUP(B178,Purchase!A:C,3,0)</f>
        <v>#N/A</v>
      </c>
      <c r="H178" s="2" t="e">
        <f>VLOOKUP(G178,ProductList!A:B,2,0)</f>
        <v>#N/A</v>
      </c>
    </row>
    <row r="179" spans="1:8" hidden="1">
      <c r="A179">
        <v>178</v>
      </c>
      <c r="B179">
        <v>178</v>
      </c>
      <c r="C179" s="2" t="e">
        <f>VLOOKUP(B179,Purchase!A:I,9,0)</f>
        <v>#N/A</v>
      </c>
      <c r="D179" s="5" t="e">
        <f>VLOOKUP(B179,Purchase!A:B,2,0)</f>
        <v>#N/A</v>
      </c>
      <c r="E179" t="s">
        <v>5</v>
      </c>
      <c r="F179">
        <v>2</v>
      </c>
      <c r="G179" s="2" t="e">
        <f>VLOOKUP(B179,Purchase!A:C,3,0)</f>
        <v>#N/A</v>
      </c>
      <c r="H179" s="2" t="e">
        <f>VLOOKUP(G179,ProductList!A:B,2,0)</f>
        <v>#N/A</v>
      </c>
    </row>
    <row r="180" spans="1:8" hidden="1">
      <c r="A180">
        <v>179</v>
      </c>
      <c r="B180">
        <v>179</v>
      </c>
      <c r="C180" s="2" t="e">
        <f>VLOOKUP(B180,Purchase!A:I,9,0)</f>
        <v>#N/A</v>
      </c>
      <c r="D180" s="5" t="e">
        <f>VLOOKUP(B180,Purchase!A:B,2,0)</f>
        <v>#N/A</v>
      </c>
      <c r="E180" t="s">
        <v>8</v>
      </c>
      <c r="F180">
        <v>2.5</v>
      </c>
      <c r="G180" s="2" t="e">
        <f>VLOOKUP(B180,Purchase!A:C,3,0)</f>
        <v>#N/A</v>
      </c>
      <c r="H180" s="2" t="e">
        <f>VLOOKUP(G180,ProductList!A:B,2,0)</f>
        <v>#N/A</v>
      </c>
    </row>
    <row r="181" spans="1:8" hidden="1">
      <c r="A181">
        <v>180</v>
      </c>
      <c r="B181">
        <v>180</v>
      </c>
      <c r="C181" s="2" t="e">
        <f>VLOOKUP(B181,Purchase!A:I,9,0)</f>
        <v>#N/A</v>
      </c>
      <c r="D181" s="5" t="e">
        <f>VLOOKUP(B181,Purchase!A:B,2,0)</f>
        <v>#N/A</v>
      </c>
      <c r="E181" t="s">
        <v>8</v>
      </c>
      <c r="F181">
        <v>3</v>
      </c>
      <c r="G181" s="2" t="e">
        <f>VLOOKUP(B181,Purchase!A:C,3,0)</f>
        <v>#N/A</v>
      </c>
      <c r="H181" s="2" t="e">
        <f>VLOOKUP(G181,ProductList!A:B,2,0)</f>
        <v>#N/A</v>
      </c>
    </row>
    <row r="182" spans="1:8" hidden="1">
      <c r="A182">
        <v>181</v>
      </c>
      <c r="B182">
        <v>181</v>
      </c>
      <c r="C182" s="2" t="e">
        <f>VLOOKUP(B182,Purchase!A:I,9,0)</f>
        <v>#N/A</v>
      </c>
      <c r="D182" s="5" t="e">
        <f>VLOOKUP(B182,Purchase!A:B,2,0)</f>
        <v>#N/A</v>
      </c>
      <c r="E182" t="s">
        <v>7</v>
      </c>
      <c r="F182">
        <v>3.5</v>
      </c>
      <c r="G182" s="2" t="e">
        <f>VLOOKUP(B182,Purchase!A:C,3,0)</f>
        <v>#N/A</v>
      </c>
      <c r="H182" s="2" t="e">
        <f>VLOOKUP(G182,ProductList!A:B,2,0)</f>
        <v>#N/A</v>
      </c>
    </row>
    <row r="183" spans="1:8" hidden="1">
      <c r="A183">
        <v>182</v>
      </c>
      <c r="B183">
        <v>182</v>
      </c>
      <c r="C183" s="2" t="e">
        <f>VLOOKUP(B183,Purchase!A:I,9,0)</f>
        <v>#N/A</v>
      </c>
      <c r="D183" s="5" t="e">
        <f>VLOOKUP(B183,Purchase!A:B,2,0)</f>
        <v>#N/A</v>
      </c>
      <c r="E183" t="s">
        <v>6</v>
      </c>
      <c r="F183">
        <v>4</v>
      </c>
      <c r="G183" s="2" t="e">
        <f>VLOOKUP(B183,Purchase!A:C,3,0)</f>
        <v>#N/A</v>
      </c>
      <c r="H183" s="2" t="e">
        <f>VLOOKUP(G183,ProductList!A:B,2,0)</f>
        <v>#N/A</v>
      </c>
    </row>
    <row r="184" spans="1:8" hidden="1">
      <c r="A184">
        <v>183</v>
      </c>
      <c r="B184">
        <v>183</v>
      </c>
      <c r="C184" s="2" t="e">
        <f>VLOOKUP(B184,Purchase!A:I,9,0)</f>
        <v>#N/A</v>
      </c>
      <c r="D184" s="5" t="e">
        <f>VLOOKUP(B184,Purchase!A:B,2,0)</f>
        <v>#N/A</v>
      </c>
      <c r="E184" t="s">
        <v>5</v>
      </c>
      <c r="F184">
        <v>4.5</v>
      </c>
      <c r="G184" s="2" t="e">
        <f>VLOOKUP(B184,Purchase!A:C,3,0)</f>
        <v>#N/A</v>
      </c>
      <c r="H184" s="2" t="e">
        <f>VLOOKUP(G184,ProductList!A:B,2,0)</f>
        <v>#N/A</v>
      </c>
    </row>
    <row r="185" spans="1:8" hidden="1">
      <c r="A185">
        <v>184</v>
      </c>
      <c r="B185">
        <v>184</v>
      </c>
      <c r="C185" s="2" t="e">
        <f>VLOOKUP(B185,Purchase!A:I,9,0)</f>
        <v>#N/A</v>
      </c>
      <c r="D185" s="5" t="e">
        <f>VLOOKUP(B185,Purchase!A:B,2,0)</f>
        <v>#N/A</v>
      </c>
      <c r="E185" t="s">
        <v>7</v>
      </c>
      <c r="F185">
        <v>5</v>
      </c>
      <c r="G185" s="2" t="e">
        <f>VLOOKUP(B185,Purchase!A:C,3,0)</f>
        <v>#N/A</v>
      </c>
      <c r="H185" s="2" t="e">
        <f>VLOOKUP(G185,ProductList!A:B,2,0)</f>
        <v>#N/A</v>
      </c>
    </row>
    <row r="186" spans="1:8" hidden="1">
      <c r="A186">
        <v>185</v>
      </c>
      <c r="B186">
        <v>185</v>
      </c>
      <c r="C186" s="2" t="e">
        <f>VLOOKUP(B186,Purchase!A:I,9,0)</f>
        <v>#N/A</v>
      </c>
      <c r="D186" s="5" t="e">
        <f>VLOOKUP(B186,Purchase!A:B,2,0)</f>
        <v>#N/A</v>
      </c>
      <c r="E186" t="s">
        <v>7</v>
      </c>
      <c r="F186">
        <v>0</v>
      </c>
      <c r="G186" s="2" t="e">
        <f>VLOOKUP(B186,Purchase!A:C,3,0)</f>
        <v>#N/A</v>
      </c>
      <c r="H186" s="2" t="e">
        <f>VLOOKUP(G186,ProductList!A:B,2,0)</f>
        <v>#N/A</v>
      </c>
    </row>
    <row r="187" spans="1:8" hidden="1">
      <c r="A187">
        <v>186</v>
      </c>
      <c r="B187">
        <v>186</v>
      </c>
      <c r="C187" s="2" t="e">
        <f>VLOOKUP(B187,Purchase!A:I,9,0)</f>
        <v>#N/A</v>
      </c>
      <c r="D187" s="5" t="e">
        <f>VLOOKUP(B187,Purchase!A:B,2,0)</f>
        <v>#N/A</v>
      </c>
      <c r="E187" t="s">
        <v>6</v>
      </c>
      <c r="F187">
        <v>1</v>
      </c>
      <c r="G187" s="2" t="e">
        <f>VLOOKUP(B187,Purchase!A:C,3,0)</f>
        <v>#N/A</v>
      </c>
      <c r="H187" s="2" t="e">
        <f>VLOOKUP(G187,ProductList!A:B,2,0)</f>
        <v>#N/A</v>
      </c>
    </row>
    <row r="188" spans="1:8" hidden="1">
      <c r="A188">
        <v>187</v>
      </c>
      <c r="B188">
        <v>187</v>
      </c>
      <c r="C188" s="2" t="e">
        <f>VLOOKUP(B188,Purchase!A:I,9,0)</f>
        <v>#N/A</v>
      </c>
      <c r="D188" s="5" t="e">
        <f>VLOOKUP(B188,Purchase!A:B,2,0)</f>
        <v>#N/A</v>
      </c>
      <c r="E188" t="s">
        <v>6</v>
      </c>
      <c r="F188">
        <v>1.5</v>
      </c>
      <c r="G188" s="2" t="e">
        <f>VLOOKUP(B188,Purchase!A:C,3,0)</f>
        <v>#N/A</v>
      </c>
      <c r="H188" s="2" t="e">
        <f>VLOOKUP(G188,ProductList!A:B,2,0)</f>
        <v>#N/A</v>
      </c>
    </row>
    <row r="189" spans="1:8" hidden="1">
      <c r="A189">
        <v>188</v>
      </c>
      <c r="B189">
        <v>188</v>
      </c>
      <c r="C189" s="2" t="e">
        <f>VLOOKUP(B189,Purchase!A:I,9,0)</f>
        <v>#N/A</v>
      </c>
      <c r="D189" s="5" t="e">
        <f>VLOOKUP(B189,Purchase!A:B,2,0)</f>
        <v>#N/A</v>
      </c>
      <c r="E189" t="s">
        <v>4</v>
      </c>
      <c r="F189">
        <v>2</v>
      </c>
      <c r="G189" s="2" t="e">
        <f>VLOOKUP(B189,Purchase!A:C,3,0)</f>
        <v>#N/A</v>
      </c>
      <c r="H189" s="2" t="e">
        <f>VLOOKUP(G189,ProductList!A:B,2,0)</f>
        <v>#N/A</v>
      </c>
    </row>
    <row r="190" spans="1:8" hidden="1">
      <c r="A190">
        <v>189</v>
      </c>
      <c r="B190">
        <v>189</v>
      </c>
      <c r="C190" s="2" t="e">
        <f>VLOOKUP(B190,Purchase!A:I,9,0)</f>
        <v>#N/A</v>
      </c>
      <c r="D190" s="5" t="e">
        <f>VLOOKUP(B190,Purchase!A:B,2,0)</f>
        <v>#N/A</v>
      </c>
      <c r="E190" t="s">
        <v>8</v>
      </c>
      <c r="F190">
        <v>2.5</v>
      </c>
      <c r="G190" s="2" t="e">
        <f>VLOOKUP(B190,Purchase!A:C,3,0)</f>
        <v>#N/A</v>
      </c>
      <c r="H190" s="2" t="e">
        <f>VLOOKUP(G190,ProductList!A:B,2,0)</f>
        <v>#N/A</v>
      </c>
    </row>
    <row r="191" spans="1:8" hidden="1">
      <c r="A191">
        <v>190</v>
      </c>
      <c r="B191">
        <v>190</v>
      </c>
      <c r="C191" s="2" t="e">
        <f>VLOOKUP(B191,Purchase!A:I,9,0)</f>
        <v>#N/A</v>
      </c>
      <c r="D191" s="5" t="e">
        <f>VLOOKUP(B191,Purchase!A:B,2,0)</f>
        <v>#N/A</v>
      </c>
      <c r="E191" t="s">
        <v>7</v>
      </c>
      <c r="F191">
        <v>3</v>
      </c>
      <c r="G191" s="2" t="e">
        <f>VLOOKUP(B191,Purchase!A:C,3,0)</f>
        <v>#N/A</v>
      </c>
      <c r="H191" s="2" t="e">
        <f>VLOOKUP(G191,ProductList!A:B,2,0)</f>
        <v>#N/A</v>
      </c>
    </row>
    <row r="192" spans="1:8" hidden="1">
      <c r="A192">
        <v>191</v>
      </c>
      <c r="B192">
        <v>191</v>
      </c>
      <c r="C192" s="2" t="e">
        <f>VLOOKUP(B192,Purchase!A:I,9,0)</f>
        <v>#N/A</v>
      </c>
      <c r="D192" s="5" t="e">
        <f>VLOOKUP(B192,Purchase!A:B,2,0)</f>
        <v>#N/A</v>
      </c>
      <c r="E192" t="s">
        <v>8</v>
      </c>
      <c r="F192">
        <v>3.5</v>
      </c>
      <c r="G192" s="2" t="e">
        <f>VLOOKUP(B192,Purchase!A:C,3,0)</f>
        <v>#N/A</v>
      </c>
      <c r="H192" s="2" t="e">
        <f>VLOOKUP(G192,ProductList!A:B,2,0)</f>
        <v>#N/A</v>
      </c>
    </row>
    <row r="193" spans="1:8" hidden="1">
      <c r="A193">
        <v>192</v>
      </c>
      <c r="B193">
        <v>192</v>
      </c>
      <c r="C193" s="2" t="e">
        <f>VLOOKUP(B193,Purchase!A:I,9,0)</f>
        <v>#N/A</v>
      </c>
      <c r="D193" s="5" t="e">
        <f>VLOOKUP(B193,Purchase!A:B,2,0)</f>
        <v>#N/A</v>
      </c>
      <c r="E193" t="s">
        <v>5</v>
      </c>
      <c r="F193">
        <v>4</v>
      </c>
      <c r="G193" s="2" t="e">
        <f>VLOOKUP(B193,Purchase!A:C,3,0)</f>
        <v>#N/A</v>
      </c>
      <c r="H193" s="2" t="e">
        <f>VLOOKUP(G193,ProductList!A:B,2,0)</f>
        <v>#N/A</v>
      </c>
    </row>
    <row r="194" spans="1:8" hidden="1">
      <c r="A194">
        <v>193</v>
      </c>
      <c r="B194">
        <v>193</v>
      </c>
      <c r="C194" s="2" t="e">
        <f>VLOOKUP(B194,Purchase!A:I,9,0)</f>
        <v>#N/A</v>
      </c>
      <c r="D194" s="5" t="e">
        <f>VLOOKUP(B194,Purchase!A:B,2,0)</f>
        <v>#N/A</v>
      </c>
      <c r="E194" t="s">
        <v>7</v>
      </c>
      <c r="F194">
        <v>4.5</v>
      </c>
      <c r="G194" s="2" t="e">
        <f>VLOOKUP(B194,Purchase!A:C,3,0)</f>
        <v>#N/A</v>
      </c>
      <c r="H194" s="2" t="e">
        <f>VLOOKUP(G194,ProductList!A:B,2,0)</f>
        <v>#N/A</v>
      </c>
    </row>
    <row r="195" spans="1:8" hidden="1">
      <c r="A195">
        <v>194</v>
      </c>
      <c r="B195">
        <v>194</v>
      </c>
      <c r="C195" s="2" t="e">
        <f>VLOOKUP(B195,Purchase!A:I,9,0)</f>
        <v>#N/A</v>
      </c>
      <c r="D195" s="5" t="e">
        <f>VLOOKUP(B195,Purchase!A:B,2,0)</f>
        <v>#N/A</v>
      </c>
      <c r="E195" t="s">
        <v>8</v>
      </c>
      <c r="F195">
        <v>5</v>
      </c>
      <c r="G195" s="2" t="e">
        <f>VLOOKUP(B195,Purchase!A:C,3,0)</f>
        <v>#N/A</v>
      </c>
      <c r="H195" s="2" t="e">
        <f>VLOOKUP(G195,ProductList!A:B,2,0)</f>
        <v>#N/A</v>
      </c>
    </row>
    <row r="196" spans="1:8" hidden="1">
      <c r="A196">
        <v>195</v>
      </c>
      <c r="B196">
        <v>195</v>
      </c>
      <c r="C196" s="2" t="e">
        <f>VLOOKUP(B196,Purchase!A:I,9,0)</f>
        <v>#N/A</v>
      </c>
      <c r="D196" s="5" t="e">
        <f>VLOOKUP(B196,Purchase!A:B,2,0)</f>
        <v>#N/A</v>
      </c>
      <c r="E196" t="s">
        <v>7</v>
      </c>
      <c r="F196">
        <v>2.5</v>
      </c>
      <c r="G196" s="2" t="e">
        <f>VLOOKUP(B196,Purchase!A:C,3,0)</f>
        <v>#N/A</v>
      </c>
      <c r="H196" s="2" t="e">
        <f>VLOOKUP(G196,ProductList!A:B,2,0)</f>
        <v>#N/A</v>
      </c>
    </row>
    <row r="197" spans="1:8" hidden="1">
      <c r="A197">
        <v>196</v>
      </c>
      <c r="B197">
        <v>196</v>
      </c>
      <c r="C197" s="2" t="e">
        <f>VLOOKUP(B197,Purchase!A:I,9,0)</f>
        <v>#N/A</v>
      </c>
      <c r="D197" s="5" t="e">
        <f>VLOOKUP(B197,Purchase!A:B,2,0)</f>
        <v>#N/A</v>
      </c>
      <c r="E197" t="s">
        <v>8</v>
      </c>
      <c r="F197">
        <v>4.5</v>
      </c>
      <c r="G197" s="2" t="e">
        <f>VLOOKUP(B197,Purchase!A:C,3,0)</f>
        <v>#N/A</v>
      </c>
      <c r="H197" s="2" t="e">
        <f>VLOOKUP(G197,ProductList!A:B,2,0)</f>
        <v>#N/A</v>
      </c>
    </row>
    <row r="198" spans="1:8" hidden="1">
      <c r="A198">
        <v>197</v>
      </c>
      <c r="B198">
        <v>197</v>
      </c>
      <c r="C198" s="2" t="e">
        <f>VLOOKUP(B198,Purchase!A:I,9,0)</f>
        <v>#N/A</v>
      </c>
      <c r="D198" s="5" t="e">
        <f>VLOOKUP(B198,Purchase!A:B,2,0)</f>
        <v>#N/A</v>
      </c>
      <c r="E198" t="s">
        <v>5</v>
      </c>
      <c r="F198">
        <v>4</v>
      </c>
      <c r="G198" s="2" t="e">
        <f>VLOOKUP(B198,Purchase!A:C,3,0)</f>
        <v>#N/A</v>
      </c>
      <c r="H198" s="2" t="e">
        <f>VLOOKUP(G198,ProductList!A:B,2,0)</f>
        <v>#N/A</v>
      </c>
    </row>
    <row r="199" spans="1:8" hidden="1">
      <c r="A199">
        <v>198</v>
      </c>
      <c r="B199">
        <v>198</v>
      </c>
      <c r="C199" s="2" t="e">
        <f>VLOOKUP(B199,Purchase!A:I,9,0)</f>
        <v>#N/A</v>
      </c>
      <c r="D199" s="5" t="e">
        <f>VLOOKUP(B199,Purchase!A:B,2,0)</f>
        <v>#N/A</v>
      </c>
      <c r="E199" t="s">
        <v>8</v>
      </c>
      <c r="F199">
        <v>0</v>
      </c>
      <c r="G199" s="2" t="e">
        <f>VLOOKUP(B199,Purchase!A:C,3,0)</f>
        <v>#N/A</v>
      </c>
      <c r="H199" s="2" t="e">
        <f>VLOOKUP(G199,ProductList!A:B,2,0)</f>
        <v>#N/A</v>
      </c>
    </row>
    <row r="200" spans="1:8" hidden="1">
      <c r="A200">
        <v>199</v>
      </c>
      <c r="B200">
        <v>199</v>
      </c>
      <c r="C200" s="2" t="e">
        <f>VLOOKUP(B200,Purchase!A:I,9,0)</f>
        <v>#N/A</v>
      </c>
      <c r="D200" s="5" t="e">
        <f>VLOOKUP(B200,Purchase!A:B,2,0)</f>
        <v>#N/A</v>
      </c>
      <c r="E200" t="s">
        <v>6</v>
      </c>
      <c r="F200">
        <v>2</v>
      </c>
      <c r="G200" s="2" t="e">
        <f>VLOOKUP(B200,Purchase!A:C,3,0)</f>
        <v>#N/A</v>
      </c>
      <c r="H200" s="2" t="e">
        <f>VLOOKUP(G200,ProductList!A:B,2,0)</f>
        <v>#N/A</v>
      </c>
    </row>
    <row r="201" spans="1:8" hidden="1">
      <c r="A201">
        <v>200</v>
      </c>
      <c r="B201">
        <v>200</v>
      </c>
      <c r="C201" s="2" t="e">
        <f>VLOOKUP(B201,Purchase!A:I,9,0)</f>
        <v>#N/A</v>
      </c>
      <c r="D201" s="5" t="e">
        <f>VLOOKUP(B201,Purchase!A:B,2,0)</f>
        <v>#N/A</v>
      </c>
      <c r="E201" t="s">
        <v>6</v>
      </c>
      <c r="F201">
        <v>0</v>
      </c>
      <c r="G201" s="2" t="e">
        <f>VLOOKUP(B201,Purchase!A:C,3,0)</f>
        <v>#N/A</v>
      </c>
      <c r="H201" s="2" t="e">
        <f>VLOOKUP(G201,ProductList!A:B,2,0)</f>
        <v>#N/A</v>
      </c>
    </row>
    <row r="202" spans="1:8" hidden="1">
      <c r="A202">
        <v>201</v>
      </c>
      <c r="B202">
        <v>201</v>
      </c>
      <c r="C202" s="2" t="e">
        <f>VLOOKUP(B202,Purchase!A:I,9,0)</f>
        <v>#N/A</v>
      </c>
      <c r="D202" s="5" t="e">
        <f>VLOOKUP(B202,Purchase!A:B,2,0)</f>
        <v>#N/A</v>
      </c>
      <c r="E202" t="s">
        <v>7</v>
      </c>
      <c r="F202">
        <v>2</v>
      </c>
      <c r="G202" s="2" t="e">
        <f>VLOOKUP(B202,Purchase!A:C,3,0)</f>
        <v>#N/A</v>
      </c>
      <c r="H202" s="2" t="e">
        <f>VLOOKUP(G202,ProductList!A:B,2,0)</f>
        <v>#N/A</v>
      </c>
    </row>
    <row r="203" spans="1:8" hidden="1">
      <c r="A203">
        <v>202</v>
      </c>
      <c r="B203">
        <v>202</v>
      </c>
      <c r="C203" s="2" t="e">
        <f>VLOOKUP(B203,Purchase!A:I,9,0)</f>
        <v>#N/A</v>
      </c>
      <c r="D203" s="5" t="e">
        <f>VLOOKUP(B203,Purchase!A:B,2,0)</f>
        <v>#N/A</v>
      </c>
      <c r="E203" t="s">
        <v>4</v>
      </c>
      <c r="F203">
        <v>1</v>
      </c>
      <c r="G203" s="2" t="e">
        <f>VLOOKUP(B203,Purchase!A:C,3,0)</f>
        <v>#N/A</v>
      </c>
      <c r="H203" s="2" t="e">
        <f>VLOOKUP(G203,ProductList!A:B,2,0)</f>
        <v>#N/A</v>
      </c>
    </row>
    <row r="204" spans="1:8" hidden="1">
      <c r="A204">
        <v>203</v>
      </c>
      <c r="B204">
        <v>203</v>
      </c>
      <c r="C204" s="2" t="e">
        <f>VLOOKUP(B204,Purchase!A:I,9,0)</f>
        <v>#N/A</v>
      </c>
      <c r="D204" s="5" t="e">
        <f>VLOOKUP(B204,Purchase!A:B,2,0)</f>
        <v>#N/A</v>
      </c>
      <c r="E204" t="s">
        <v>8</v>
      </c>
      <c r="F204">
        <v>1.5</v>
      </c>
      <c r="G204" s="2" t="e">
        <f>VLOOKUP(B204,Purchase!A:C,3,0)</f>
        <v>#N/A</v>
      </c>
      <c r="H204" s="2" t="e">
        <f>VLOOKUP(G204,ProductList!A:B,2,0)</f>
        <v>#N/A</v>
      </c>
    </row>
    <row r="205" spans="1:8" hidden="1">
      <c r="A205">
        <v>204</v>
      </c>
      <c r="B205">
        <v>204</v>
      </c>
      <c r="C205" s="2" t="e">
        <f>VLOOKUP(B205,Purchase!A:I,9,0)</f>
        <v>#N/A</v>
      </c>
      <c r="D205" s="5" t="e">
        <f>VLOOKUP(B205,Purchase!A:B,2,0)</f>
        <v>#N/A</v>
      </c>
      <c r="E205" t="s">
        <v>7</v>
      </c>
      <c r="F205">
        <v>2.5</v>
      </c>
      <c r="G205" s="2" t="e">
        <f>VLOOKUP(B205,Purchase!A:C,3,0)</f>
        <v>#N/A</v>
      </c>
      <c r="H205" s="2" t="e">
        <f>VLOOKUP(G205,ProductList!A:B,2,0)</f>
        <v>#N/A</v>
      </c>
    </row>
    <row r="206" spans="1:8" hidden="1">
      <c r="A206">
        <v>205</v>
      </c>
      <c r="B206">
        <v>205</v>
      </c>
      <c r="C206" s="2" t="e">
        <f>VLOOKUP(B206,Purchase!A:I,9,0)</f>
        <v>#N/A</v>
      </c>
      <c r="D206" s="5" t="e">
        <f>VLOOKUP(B206,Purchase!A:B,2,0)</f>
        <v>#N/A</v>
      </c>
      <c r="E206" t="s">
        <v>6</v>
      </c>
      <c r="F206">
        <v>3</v>
      </c>
      <c r="G206" s="2" t="e">
        <f>VLOOKUP(B206,Purchase!A:C,3,0)</f>
        <v>#N/A</v>
      </c>
      <c r="H206" s="2" t="e">
        <f>VLOOKUP(G206,ProductList!A:B,2,0)</f>
        <v>#N/A</v>
      </c>
    </row>
    <row r="207" spans="1:8" hidden="1">
      <c r="A207">
        <v>206</v>
      </c>
      <c r="B207">
        <v>206</v>
      </c>
      <c r="C207" s="2" t="e">
        <f>VLOOKUP(B207,Purchase!A:I,9,0)</f>
        <v>#N/A</v>
      </c>
      <c r="D207" s="5" t="e">
        <f>VLOOKUP(B207,Purchase!A:B,2,0)</f>
        <v>#N/A</v>
      </c>
      <c r="E207" t="s">
        <v>4</v>
      </c>
      <c r="F207">
        <v>3.5</v>
      </c>
      <c r="G207" s="2" t="e">
        <f>VLOOKUP(B207,Purchase!A:C,3,0)</f>
        <v>#N/A</v>
      </c>
      <c r="H207" s="2" t="e">
        <f>VLOOKUP(G207,ProductList!A:B,2,0)</f>
        <v>#N/A</v>
      </c>
    </row>
    <row r="208" spans="1:8" hidden="1">
      <c r="A208">
        <v>207</v>
      </c>
      <c r="B208">
        <v>207</v>
      </c>
      <c r="C208" s="2" t="e">
        <f>VLOOKUP(B208,Purchase!A:I,9,0)</f>
        <v>#N/A</v>
      </c>
      <c r="D208" s="5" t="e">
        <f>VLOOKUP(B208,Purchase!A:B,2,0)</f>
        <v>#N/A</v>
      </c>
      <c r="E208" t="s">
        <v>5</v>
      </c>
      <c r="F208">
        <v>4.5</v>
      </c>
      <c r="G208" s="2" t="e">
        <f>VLOOKUP(B208,Purchase!A:C,3,0)</f>
        <v>#N/A</v>
      </c>
      <c r="H208" s="2" t="e">
        <f>VLOOKUP(G208,ProductList!A:B,2,0)</f>
        <v>#N/A</v>
      </c>
    </row>
    <row r="209" spans="1:8" hidden="1">
      <c r="A209">
        <v>208</v>
      </c>
      <c r="B209">
        <v>208</v>
      </c>
      <c r="C209" s="2" t="e">
        <f>VLOOKUP(B209,Purchase!A:I,9,0)</f>
        <v>#N/A</v>
      </c>
      <c r="D209" s="5" t="e">
        <f>VLOOKUP(B209,Purchase!A:B,2,0)</f>
        <v>#N/A</v>
      </c>
      <c r="E209" t="s">
        <v>8</v>
      </c>
      <c r="F209">
        <v>5</v>
      </c>
      <c r="G209" s="2" t="e">
        <f>VLOOKUP(B209,Purchase!A:C,3,0)</f>
        <v>#N/A</v>
      </c>
      <c r="H209" s="2" t="e">
        <f>VLOOKUP(G209,ProductList!A:B,2,0)</f>
        <v>#N/A</v>
      </c>
    </row>
    <row r="210" spans="1:8" hidden="1">
      <c r="A210">
        <v>209</v>
      </c>
      <c r="B210">
        <v>209</v>
      </c>
      <c r="C210" s="2" t="e">
        <f>VLOOKUP(B210,Purchase!A:I,9,0)</f>
        <v>#N/A</v>
      </c>
      <c r="D210" s="5" t="e">
        <f>VLOOKUP(B210,Purchase!A:B,2,0)</f>
        <v>#N/A</v>
      </c>
      <c r="E210" t="s">
        <v>8</v>
      </c>
      <c r="F210">
        <v>1</v>
      </c>
      <c r="G210" s="2" t="e">
        <f>VLOOKUP(B210,Purchase!A:C,3,0)</f>
        <v>#N/A</v>
      </c>
      <c r="H210" s="2" t="e">
        <f>VLOOKUP(G210,ProductList!A:B,2,0)</f>
        <v>#N/A</v>
      </c>
    </row>
    <row r="211" spans="1:8" hidden="1">
      <c r="A211">
        <v>210</v>
      </c>
      <c r="B211">
        <v>210</v>
      </c>
      <c r="C211" s="2" t="e">
        <f>VLOOKUP(B211,Purchase!A:I,9,0)</f>
        <v>#N/A</v>
      </c>
      <c r="D211" s="5" t="e">
        <f>VLOOKUP(B211,Purchase!A:B,2,0)</f>
        <v>#N/A</v>
      </c>
      <c r="E211" t="s">
        <v>4</v>
      </c>
      <c r="F211">
        <v>1.5</v>
      </c>
      <c r="G211" s="2" t="e">
        <f>VLOOKUP(B211,Purchase!A:C,3,0)</f>
        <v>#N/A</v>
      </c>
      <c r="H211" s="2" t="e">
        <f>VLOOKUP(G211,ProductList!A:B,2,0)</f>
        <v>#N/A</v>
      </c>
    </row>
    <row r="212" spans="1:8" hidden="1">
      <c r="A212">
        <v>211</v>
      </c>
      <c r="B212">
        <v>211</v>
      </c>
      <c r="C212" s="2" t="e">
        <f>VLOOKUP(B212,Purchase!A:I,9,0)</f>
        <v>#N/A</v>
      </c>
      <c r="D212" s="5" t="e">
        <f>VLOOKUP(B212,Purchase!A:B,2,0)</f>
        <v>#N/A</v>
      </c>
      <c r="E212" t="s">
        <v>5</v>
      </c>
      <c r="F212">
        <v>2</v>
      </c>
      <c r="G212" s="2" t="e">
        <f>VLOOKUP(B212,Purchase!A:C,3,0)</f>
        <v>#N/A</v>
      </c>
      <c r="H212" s="2" t="e">
        <f>VLOOKUP(G212,ProductList!A:B,2,0)</f>
        <v>#N/A</v>
      </c>
    </row>
    <row r="213" spans="1:8" hidden="1">
      <c r="A213">
        <v>212</v>
      </c>
      <c r="B213">
        <v>212</v>
      </c>
      <c r="C213" s="2" t="e">
        <f>VLOOKUP(B213,Purchase!A:I,9,0)</f>
        <v>#N/A</v>
      </c>
      <c r="D213" s="5" t="e">
        <f>VLOOKUP(B213,Purchase!A:B,2,0)</f>
        <v>#N/A</v>
      </c>
      <c r="E213" t="s">
        <v>6</v>
      </c>
      <c r="F213">
        <v>3</v>
      </c>
      <c r="G213" s="2" t="e">
        <f>VLOOKUP(B213,Purchase!A:C,3,0)</f>
        <v>#N/A</v>
      </c>
      <c r="H213" s="2" t="e">
        <f>VLOOKUP(G213,ProductList!A:B,2,0)</f>
        <v>#N/A</v>
      </c>
    </row>
    <row r="214" spans="1:8" hidden="1">
      <c r="A214">
        <v>213</v>
      </c>
      <c r="B214">
        <v>213</v>
      </c>
      <c r="C214" s="2" t="e">
        <f>VLOOKUP(B214,Purchase!A:I,9,0)</f>
        <v>#N/A</v>
      </c>
      <c r="D214" s="5" t="e">
        <f>VLOOKUP(B214,Purchase!A:B,2,0)</f>
        <v>#N/A</v>
      </c>
      <c r="E214" t="s">
        <v>8</v>
      </c>
      <c r="F214">
        <v>3.5</v>
      </c>
      <c r="G214" s="2" t="e">
        <f>VLOOKUP(B214,Purchase!A:C,3,0)</f>
        <v>#N/A</v>
      </c>
      <c r="H214" s="2" t="e">
        <f>VLOOKUP(G214,ProductList!A:B,2,0)</f>
        <v>#N/A</v>
      </c>
    </row>
    <row r="215" spans="1:8" hidden="1">
      <c r="A215">
        <v>214</v>
      </c>
      <c r="B215">
        <v>214</v>
      </c>
      <c r="C215" s="2" t="e">
        <f>VLOOKUP(B215,Purchase!A:I,9,0)</f>
        <v>#N/A</v>
      </c>
      <c r="D215" s="5" t="e">
        <f>VLOOKUP(B215,Purchase!A:B,2,0)</f>
        <v>#N/A</v>
      </c>
      <c r="E215" t="s">
        <v>5</v>
      </c>
      <c r="F215">
        <v>4</v>
      </c>
      <c r="G215" s="2" t="e">
        <f>VLOOKUP(B215,Purchase!A:C,3,0)</f>
        <v>#N/A</v>
      </c>
      <c r="H215" s="2" t="e">
        <f>VLOOKUP(G215,ProductList!A:B,2,0)</f>
        <v>#N/A</v>
      </c>
    </row>
    <row r="216" spans="1:8" hidden="1">
      <c r="A216">
        <v>215</v>
      </c>
      <c r="B216">
        <v>215</v>
      </c>
      <c r="C216" s="2" t="e">
        <f>VLOOKUP(B216,Purchase!A:I,9,0)</f>
        <v>#N/A</v>
      </c>
      <c r="D216" s="5" t="e">
        <f>VLOOKUP(B216,Purchase!A:B,2,0)</f>
        <v>#N/A</v>
      </c>
      <c r="E216" t="s">
        <v>8</v>
      </c>
      <c r="F216">
        <v>5</v>
      </c>
      <c r="G216" s="2" t="e">
        <f>VLOOKUP(B216,Purchase!A:C,3,0)</f>
        <v>#N/A</v>
      </c>
      <c r="H216" s="2" t="e">
        <f>VLOOKUP(G216,ProductList!A:B,2,0)</f>
        <v>#N/A</v>
      </c>
    </row>
    <row r="217" spans="1:8" hidden="1">
      <c r="A217">
        <v>216</v>
      </c>
      <c r="B217">
        <v>216</v>
      </c>
      <c r="C217" s="2" t="e">
        <f>VLOOKUP(B217,Purchase!A:I,9,0)</f>
        <v>#N/A</v>
      </c>
      <c r="D217" s="5" t="e">
        <f>VLOOKUP(B217,Purchase!A:B,2,0)</f>
        <v>#N/A</v>
      </c>
      <c r="E217" t="s">
        <v>7</v>
      </c>
      <c r="F217">
        <v>0</v>
      </c>
      <c r="G217" s="2" t="e">
        <f>VLOOKUP(B217,Purchase!A:C,3,0)</f>
        <v>#N/A</v>
      </c>
      <c r="H217" s="2" t="e">
        <f>VLOOKUP(G217,ProductList!A:B,2,0)</f>
        <v>#N/A</v>
      </c>
    </row>
    <row r="218" spans="1:8" hidden="1">
      <c r="A218">
        <v>217</v>
      </c>
      <c r="B218">
        <v>217</v>
      </c>
      <c r="C218" s="2" t="e">
        <f>VLOOKUP(B218,Purchase!A:I,9,0)</f>
        <v>#N/A</v>
      </c>
      <c r="D218" s="5" t="e">
        <f>VLOOKUP(B218,Purchase!A:B,2,0)</f>
        <v>#N/A</v>
      </c>
      <c r="E218" t="s">
        <v>6</v>
      </c>
      <c r="F218">
        <v>1</v>
      </c>
      <c r="G218" s="2" t="e">
        <f>VLOOKUP(B218,Purchase!A:C,3,0)</f>
        <v>#N/A</v>
      </c>
      <c r="H218" s="2" t="e">
        <f>VLOOKUP(G218,ProductList!A:B,2,0)</f>
        <v>#N/A</v>
      </c>
    </row>
    <row r="219" spans="1:8" hidden="1">
      <c r="A219">
        <v>218</v>
      </c>
      <c r="B219">
        <v>218</v>
      </c>
      <c r="C219" s="2" t="e">
        <f>VLOOKUP(B219,Purchase!A:I,9,0)</f>
        <v>#N/A</v>
      </c>
      <c r="D219" s="5" t="e">
        <f>VLOOKUP(B219,Purchase!A:B,2,0)</f>
        <v>#N/A</v>
      </c>
      <c r="E219" t="s">
        <v>5</v>
      </c>
      <c r="F219">
        <v>1.5</v>
      </c>
      <c r="G219" s="2" t="e">
        <f>VLOOKUP(B219,Purchase!A:C,3,0)</f>
        <v>#N/A</v>
      </c>
      <c r="H219" s="2" t="e">
        <f>VLOOKUP(G219,ProductList!A:B,2,0)</f>
        <v>#N/A</v>
      </c>
    </row>
    <row r="220" spans="1:8" hidden="1">
      <c r="A220">
        <v>219</v>
      </c>
      <c r="B220">
        <v>219</v>
      </c>
      <c r="C220" s="2" t="e">
        <f>VLOOKUP(B220,Purchase!A:I,9,0)</f>
        <v>#N/A</v>
      </c>
      <c r="D220" s="5" t="e">
        <f>VLOOKUP(B220,Purchase!A:B,2,0)</f>
        <v>#N/A</v>
      </c>
      <c r="E220" t="s">
        <v>8</v>
      </c>
      <c r="F220">
        <v>2</v>
      </c>
      <c r="G220" s="2" t="e">
        <f>VLOOKUP(B220,Purchase!A:C,3,0)</f>
        <v>#N/A</v>
      </c>
      <c r="H220" s="2" t="e">
        <f>VLOOKUP(G220,ProductList!A:B,2,0)</f>
        <v>#N/A</v>
      </c>
    </row>
    <row r="221" spans="1:8" hidden="1">
      <c r="A221">
        <v>220</v>
      </c>
      <c r="B221">
        <v>220</v>
      </c>
      <c r="C221" s="2" t="e">
        <f>VLOOKUP(B221,Purchase!A:I,9,0)</f>
        <v>#N/A</v>
      </c>
      <c r="D221" s="5" t="e">
        <f>VLOOKUP(B221,Purchase!A:B,2,0)</f>
        <v>#N/A</v>
      </c>
      <c r="E221" t="s">
        <v>6</v>
      </c>
      <c r="F221">
        <v>2.5</v>
      </c>
      <c r="G221" s="2" t="e">
        <f>VLOOKUP(B221,Purchase!A:C,3,0)</f>
        <v>#N/A</v>
      </c>
      <c r="H221" s="2" t="e">
        <f>VLOOKUP(G221,ProductList!A:B,2,0)</f>
        <v>#N/A</v>
      </c>
    </row>
    <row r="222" spans="1:8" hidden="1">
      <c r="A222">
        <v>221</v>
      </c>
      <c r="B222">
        <v>221</v>
      </c>
      <c r="C222" s="2" t="e">
        <f>VLOOKUP(B222,Purchase!A:I,9,0)</f>
        <v>#N/A</v>
      </c>
      <c r="D222" s="5" t="e">
        <f>VLOOKUP(B222,Purchase!A:B,2,0)</f>
        <v>#N/A</v>
      </c>
      <c r="E222" t="s">
        <v>5</v>
      </c>
      <c r="F222">
        <v>3</v>
      </c>
      <c r="G222" s="2" t="e">
        <f>VLOOKUP(B222,Purchase!A:C,3,0)</f>
        <v>#N/A</v>
      </c>
      <c r="H222" s="2" t="e">
        <f>VLOOKUP(G222,ProductList!A:B,2,0)</f>
        <v>#N/A</v>
      </c>
    </row>
    <row r="223" spans="1:8" hidden="1">
      <c r="A223">
        <v>222</v>
      </c>
      <c r="B223">
        <v>222</v>
      </c>
      <c r="C223" s="2" t="e">
        <f>VLOOKUP(B223,Purchase!A:I,9,0)</f>
        <v>#N/A</v>
      </c>
      <c r="D223" s="5" t="e">
        <f>VLOOKUP(B223,Purchase!A:B,2,0)</f>
        <v>#N/A</v>
      </c>
      <c r="E223" t="s">
        <v>6</v>
      </c>
      <c r="F223">
        <v>3.5</v>
      </c>
      <c r="G223" s="2" t="e">
        <f>VLOOKUP(B223,Purchase!A:C,3,0)</f>
        <v>#N/A</v>
      </c>
      <c r="H223" s="2" t="e">
        <f>VLOOKUP(G223,ProductList!A:B,2,0)</f>
        <v>#N/A</v>
      </c>
    </row>
    <row r="224" spans="1:8" hidden="1">
      <c r="A224">
        <v>223</v>
      </c>
      <c r="B224">
        <v>223</v>
      </c>
      <c r="C224" s="2" t="e">
        <f>VLOOKUP(B224,Purchase!A:I,9,0)</f>
        <v>#N/A</v>
      </c>
      <c r="D224" s="5" t="e">
        <f>VLOOKUP(B224,Purchase!A:B,2,0)</f>
        <v>#N/A</v>
      </c>
      <c r="E224" t="s">
        <v>4</v>
      </c>
      <c r="F224">
        <v>4</v>
      </c>
      <c r="G224" s="2" t="e">
        <f>VLOOKUP(B224,Purchase!A:C,3,0)</f>
        <v>#N/A</v>
      </c>
      <c r="H224" s="2" t="e">
        <f>VLOOKUP(G224,ProductList!A:B,2,0)</f>
        <v>#N/A</v>
      </c>
    </row>
    <row r="225" spans="1:8" hidden="1">
      <c r="A225">
        <v>224</v>
      </c>
      <c r="B225">
        <v>224</v>
      </c>
      <c r="C225" s="2" t="e">
        <f>VLOOKUP(B225,Purchase!A:I,9,0)</f>
        <v>#N/A</v>
      </c>
      <c r="D225" s="5" t="e">
        <f>VLOOKUP(B225,Purchase!A:B,2,0)</f>
        <v>#N/A</v>
      </c>
      <c r="E225" t="s">
        <v>6</v>
      </c>
      <c r="F225">
        <v>4.5</v>
      </c>
      <c r="G225" s="2" t="e">
        <f>VLOOKUP(B225,Purchase!A:C,3,0)</f>
        <v>#N/A</v>
      </c>
      <c r="H225" s="2" t="e">
        <f>VLOOKUP(G225,ProductList!A:B,2,0)</f>
        <v>#N/A</v>
      </c>
    </row>
    <row r="226" spans="1:8" hidden="1">
      <c r="A226">
        <v>225</v>
      </c>
      <c r="B226">
        <v>225</v>
      </c>
      <c r="C226" s="2" t="e">
        <f>VLOOKUP(B226,Purchase!A:I,9,0)</f>
        <v>#N/A</v>
      </c>
      <c r="D226" s="5" t="e">
        <f>VLOOKUP(B226,Purchase!A:B,2,0)</f>
        <v>#N/A</v>
      </c>
      <c r="E226" t="s">
        <v>8</v>
      </c>
      <c r="F226">
        <v>5</v>
      </c>
      <c r="G226" s="2" t="e">
        <f>VLOOKUP(B226,Purchase!A:C,3,0)</f>
        <v>#N/A</v>
      </c>
      <c r="H226" s="2" t="e">
        <f>VLOOKUP(G226,ProductList!A:B,2,0)</f>
        <v>#N/A</v>
      </c>
    </row>
    <row r="227" spans="1:8" hidden="1">
      <c r="A227">
        <v>226</v>
      </c>
      <c r="B227">
        <v>226</v>
      </c>
      <c r="C227" s="2" t="e">
        <f>VLOOKUP(B227,Purchase!A:I,9,0)</f>
        <v>#N/A</v>
      </c>
      <c r="D227" s="5" t="e">
        <f>VLOOKUP(B227,Purchase!A:B,2,0)</f>
        <v>#N/A</v>
      </c>
      <c r="E227" t="s">
        <v>7</v>
      </c>
      <c r="F227">
        <v>1</v>
      </c>
      <c r="G227" s="2" t="e">
        <f>VLOOKUP(B227,Purchase!A:C,3,0)</f>
        <v>#N/A</v>
      </c>
      <c r="H227" s="2" t="e">
        <f>VLOOKUP(G227,ProductList!A:B,2,0)</f>
        <v>#N/A</v>
      </c>
    </row>
    <row r="228" spans="1:8" hidden="1">
      <c r="A228">
        <v>227</v>
      </c>
      <c r="B228">
        <v>227</v>
      </c>
      <c r="C228" s="2" t="e">
        <f>VLOOKUP(B228,Purchase!A:I,9,0)</f>
        <v>#N/A</v>
      </c>
      <c r="D228" s="5" t="e">
        <f>VLOOKUP(B228,Purchase!A:B,2,0)</f>
        <v>#N/A</v>
      </c>
      <c r="E228" t="s">
        <v>6</v>
      </c>
      <c r="F228">
        <v>1.5</v>
      </c>
      <c r="G228" s="2" t="e">
        <f>VLOOKUP(B228,Purchase!A:C,3,0)</f>
        <v>#N/A</v>
      </c>
      <c r="H228" s="2" t="e">
        <f>VLOOKUP(G228,ProductList!A:B,2,0)</f>
        <v>#N/A</v>
      </c>
    </row>
    <row r="229" spans="1:8" hidden="1">
      <c r="A229">
        <v>228</v>
      </c>
      <c r="B229">
        <v>228</v>
      </c>
      <c r="C229" s="2" t="e">
        <f>VLOOKUP(B229,Purchase!A:I,9,0)</f>
        <v>#N/A</v>
      </c>
      <c r="D229" s="5" t="e">
        <f>VLOOKUP(B229,Purchase!A:B,2,0)</f>
        <v>#N/A</v>
      </c>
      <c r="E229" t="s">
        <v>6</v>
      </c>
      <c r="F229">
        <v>2</v>
      </c>
      <c r="G229" s="2" t="e">
        <f>VLOOKUP(B229,Purchase!A:C,3,0)</f>
        <v>#N/A</v>
      </c>
      <c r="H229" s="2" t="e">
        <f>VLOOKUP(G229,ProductList!A:B,2,0)</f>
        <v>#N/A</v>
      </c>
    </row>
    <row r="230" spans="1:8" hidden="1">
      <c r="A230">
        <v>229</v>
      </c>
      <c r="B230">
        <v>229</v>
      </c>
      <c r="C230" s="2" t="e">
        <f>VLOOKUP(B230,Purchase!A:I,9,0)</f>
        <v>#N/A</v>
      </c>
      <c r="D230" s="5" t="e">
        <f>VLOOKUP(B230,Purchase!A:B,2,0)</f>
        <v>#N/A</v>
      </c>
      <c r="E230" t="s">
        <v>7</v>
      </c>
      <c r="F230">
        <v>2.5</v>
      </c>
      <c r="G230" s="2" t="e">
        <f>VLOOKUP(B230,Purchase!A:C,3,0)</f>
        <v>#N/A</v>
      </c>
      <c r="H230" s="2" t="e">
        <f>VLOOKUP(G230,ProductList!A:B,2,0)</f>
        <v>#N/A</v>
      </c>
    </row>
    <row r="231" spans="1:8" hidden="1">
      <c r="A231">
        <v>230</v>
      </c>
      <c r="B231">
        <v>230</v>
      </c>
      <c r="C231" s="2" t="e">
        <f>VLOOKUP(B231,Purchase!A:I,9,0)</f>
        <v>#N/A</v>
      </c>
      <c r="D231" s="5" t="e">
        <f>VLOOKUP(B231,Purchase!A:B,2,0)</f>
        <v>#N/A</v>
      </c>
      <c r="E231" t="s">
        <v>6</v>
      </c>
      <c r="F231">
        <v>3</v>
      </c>
      <c r="G231" s="2" t="e">
        <f>VLOOKUP(B231,Purchase!A:C,3,0)</f>
        <v>#N/A</v>
      </c>
      <c r="H231" s="2" t="e">
        <f>VLOOKUP(G231,ProductList!A:B,2,0)</f>
        <v>#N/A</v>
      </c>
    </row>
    <row r="232" spans="1:8" hidden="1">
      <c r="A232">
        <v>231</v>
      </c>
      <c r="B232">
        <v>231</v>
      </c>
      <c r="C232" s="2" t="e">
        <f>VLOOKUP(B232,Purchase!A:I,9,0)</f>
        <v>#N/A</v>
      </c>
      <c r="D232" s="5" t="e">
        <f>VLOOKUP(B232,Purchase!A:B,2,0)</f>
        <v>#N/A</v>
      </c>
      <c r="E232" t="s">
        <v>7</v>
      </c>
      <c r="F232">
        <v>3.5</v>
      </c>
      <c r="G232" s="2" t="e">
        <f>VLOOKUP(B232,Purchase!A:C,3,0)</f>
        <v>#N/A</v>
      </c>
      <c r="H232" s="2" t="e">
        <f>VLOOKUP(G232,ProductList!A:B,2,0)</f>
        <v>#N/A</v>
      </c>
    </row>
    <row r="233" spans="1:8" hidden="1">
      <c r="A233">
        <v>232</v>
      </c>
      <c r="B233">
        <v>232</v>
      </c>
      <c r="C233" s="2" t="e">
        <f>VLOOKUP(B233,Purchase!A:I,9,0)</f>
        <v>#N/A</v>
      </c>
      <c r="D233" s="5" t="e">
        <f>VLOOKUP(B233,Purchase!A:B,2,0)</f>
        <v>#N/A</v>
      </c>
      <c r="E233" t="s">
        <v>8</v>
      </c>
      <c r="F233">
        <v>4</v>
      </c>
      <c r="G233" s="2" t="e">
        <f>VLOOKUP(B233,Purchase!A:C,3,0)</f>
        <v>#N/A</v>
      </c>
      <c r="H233" s="2" t="e">
        <f>VLOOKUP(G233,ProductList!A:B,2,0)</f>
        <v>#N/A</v>
      </c>
    </row>
    <row r="234" spans="1:8" hidden="1">
      <c r="A234">
        <v>233</v>
      </c>
      <c r="B234">
        <v>233</v>
      </c>
      <c r="C234" s="2" t="e">
        <f>VLOOKUP(B234,Purchase!A:I,9,0)</f>
        <v>#N/A</v>
      </c>
      <c r="D234" s="5" t="e">
        <f>VLOOKUP(B234,Purchase!A:B,2,0)</f>
        <v>#N/A</v>
      </c>
      <c r="E234" t="s">
        <v>4</v>
      </c>
      <c r="F234">
        <v>4.5</v>
      </c>
      <c r="G234" s="2" t="e">
        <f>VLOOKUP(B234,Purchase!A:C,3,0)</f>
        <v>#N/A</v>
      </c>
      <c r="H234" s="2" t="e">
        <f>VLOOKUP(G234,ProductList!A:B,2,0)</f>
        <v>#N/A</v>
      </c>
    </row>
    <row r="235" spans="1:8" hidden="1">
      <c r="A235">
        <v>234</v>
      </c>
      <c r="B235">
        <v>234</v>
      </c>
      <c r="C235" s="2" t="e">
        <f>VLOOKUP(B235,Purchase!A:I,9,0)</f>
        <v>#N/A</v>
      </c>
      <c r="D235" s="5" t="e">
        <f>VLOOKUP(B235,Purchase!A:B,2,0)</f>
        <v>#N/A</v>
      </c>
      <c r="E235" t="s">
        <v>7</v>
      </c>
      <c r="F235">
        <v>5</v>
      </c>
      <c r="G235" s="2" t="e">
        <f>VLOOKUP(B235,Purchase!A:C,3,0)</f>
        <v>#N/A</v>
      </c>
      <c r="H235" s="2" t="e">
        <f>VLOOKUP(G235,ProductList!A:B,2,0)</f>
        <v>#N/A</v>
      </c>
    </row>
    <row r="236" spans="1:8" hidden="1">
      <c r="A236">
        <v>235</v>
      </c>
      <c r="B236">
        <v>235</v>
      </c>
      <c r="C236" s="2" t="e">
        <f>VLOOKUP(B236,Purchase!A:I,9,0)</f>
        <v>#N/A</v>
      </c>
      <c r="D236" s="5" t="e">
        <f>VLOOKUP(B236,Purchase!A:B,2,0)</f>
        <v>#N/A</v>
      </c>
      <c r="E236" t="s">
        <v>6</v>
      </c>
      <c r="F236">
        <v>0</v>
      </c>
      <c r="G236" s="2" t="e">
        <f>VLOOKUP(B236,Purchase!A:C,3,0)</f>
        <v>#N/A</v>
      </c>
      <c r="H236" s="2" t="e">
        <f>VLOOKUP(G236,ProductList!A:B,2,0)</f>
        <v>#N/A</v>
      </c>
    </row>
    <row r="237" spans="1:8" hidden="1">
      <c r="A237">
        <v>236</v>
      </c>
      <c r="B237">
        <v>236</v>
      </c>
      <c r="C237" s="2" t="e">
        <f>VLOOKUP(B237,Purchase!A:I,9,0)</f>
        <v>#N/A</v>
      </c>
      <c r="D237" s="5" t="e">
        <f>VLOOKUP(B237,Purchase!A:B,2,0)</f>
        <v>#N/A</v>
      </c>
      <c r="E237" t="s">
        <v>8</v>
      </c>
      <c r="F237">
        <v>1</v>
      </c>
      <c r="G237" s="2" t="e">
        <f>VLOOKUP(B237,Purchase!A:C,3,0)</f>
        <v>#N/A</v>
      </c>
      <c r="H237" s="2" t="e">
        <f>VLOOKUP(G237,ProductList!A:B,2,0)</f>
        <v>#N/A</v>
      </c>
    </row>
    <row r="238" spans="1:8" hidden="1">
      <c r="A238">
        <v>237</v>
      </c>
      <c r="B238">
        <v>237</v>
      </c>
      <c r="C238" s="2" t="e">
        <f>VLOOKUP(B238,Purchase!A:I,9,0)</f>
        <v>#N/A</v>
      </c>
      <c r="D238" s="5" t="e">
        <f>VLOOKUP(B238,Purchase!A:B,2,0)</f>
        <v>#N/A</v>
      </c>
      <c r="E238" t="s">
        <v>7</v>
      </c>
      <c r="F238">
        <v>1.5</v>
      </c>
      <c r="G238" s="2" t="e">
        <f>VLOOKUP(B238,Purchase!A:C,3,0)</f>
        <v>#N/A</v>
      </c>
      <c r="H238" s="2" t="e">
        <f>VLOOKUP(G238,ProductList!A:B,2,0)</f>
        <v>#N/A</v>
      </c>
    </row>
    <row r="239" spans="1:8" hidden="1">
      <c r="A239">
        <v>238</v>
      </c>
      <c r="B239">
        <v>238</v>
      </c>
      <c r="C239" s="2" t="e">
        <f>VLOOKUP(B239,Purchase!A:I,9,0)</f>
        <v>#N/A</v>
      </c>
      <c r="D239" s="5" t="e">
        <f>VLOOKUP(B239,Purchase!A:B,2,0)</f>
        <v>#N/A</v>
      </c>
      <c r="E239" t="s">
        <v>6</v>
      </c>
      <c r="F239">
        <v>2</v>
      </c>
      <c r="G239" s="2" t="e">
        <f>VLOOKUP(B239,Purchase!A:C,3,0)</f>
        <v>#N/A</v>
      </c>
      <c r="H239" s="2" t="e">
        <f>VLOOKUP(G239,ProductList!A:B,2,0)</f>
        <v>#N/A</v>
      </c>
    </row>
    <row r="240" spans="1:8" hidden="1">
      <c r="A240">
        <v>239</v>
      </c>
      <c r="B240">
        <v>239</v>
      </c>
      <c r="C240" s="2" t="e">
        <f>VLOOKUP(B240,Purchase!A:I,9,0)</f>
        <v>#N/A</v>
      </c>
      <c r="D240" s="5" t="e">
        <f>VLOOKUP(B240,Purchase!A:B,2,0)</f>
        <v>#N/A</v>
      </c>
      <c r="E240" t="s">
        <v>5</v>
      </c>
      <c r="F240">
        <v>2.5</v>
      </c>
      <c r="G240" s="2" t="e">
        <f>VLOOKUP(B240,Purchase!A:C,3,0)</f>
        <v>#N/A</v>
      </c>
      <c r="H240" s="2" t="e">
        <f>VLOOKUP(G240,ProductList!A:B,2,0)</f>
        <v>#N/A</v>
      </c>
    </row>
    <row r="241" spans="1:8" hidden="1">
      <c r="A241">
        <v>240</v>
      </c>
      <c r="B241">
        <v>240</v>
      </c>
      <c r="C241" s="2" t="e">
        <f>VLOOKUP(B241,Purchase!A:I,9,0)</f>
        <v>#N/A</v>
      </c>
      <c r="D241" s="5" t="e">
        <f>VLOOKUP(B241,Purchase!A:B,2,0)</f>
        <v>#N/A</v>
      </c>
      <c r="E241" t="s">
        <v>7</v>
      </c>
      <c r="F241">
        <v>3</v>
      </c>
      <c r="G241" s="2" t="e">
        <f>VLOOKUP(B241,Purchase!A:C,3,0)</f>
        <v>#N/A</v>
      </c>
      <c r="H241" s="2" t="e">
        <f>VLOOKUP(G241,ProductList!A:B,2,0)</f>
        <v>#N/A</v>
      </c>
    </row>
    <row r="242" spans="1:8" hidden="1">
      <c r="A242">
        <v>241</v>
      </c>
      <c r="B242">
        <v>241</v>
      </c>
      <c r="C242" s="2" t="e">
        <f>VLOOKUP(B242,Purchase!A:I,9,0)</f>
        <v>#N/A</v>
      </c>
      <c r="D242" s="5" t="e">
        <f>VLOOKUP(B242,Purchase!A:B,2,0)</f>
        <v>#N/A</v>
      </c>
      <c r="E242" t="s">
        <v>7</v>
      </c>
      <c r="F242">
        <v>3.5</v>
      </c>
      <c r="G242" s="2" t="e">
        <f>VLOOKUP(B242,Purchase!A:C,3,0)</f>
        <v>#N/A</v>
      </c>
      <c r="H242" s="2" t="e">
        <f>VLOOKUP(G242,ProductList!A:B,2,0)</f>
        <v>#N/A</v>
      </c>
    </row>
    <row r="243" spans="1:8" hidden="1">
      <c r="A243">
        <v>242</v>
      </c>
      <c r="B243">
        <v>242</v>
      </c>
      <c r="C243" s="2" t="e">
        <f>VLOOKUP(B243,Purchase!A:I,9,0)</f>
        <v>#N/A</v>
      </c>
      <c r="D243" s="5" t="e">
        <f>VLOOKUP(B243,Purchase!A:B,2,0)</f>
        <v>#N/A</v>
      </c>
      <c r="E243" t="s">
        <v>8</v>
      </c>
      <c r="F243">
        <v>4</v>
      </c>
      <c r="G243" s="2" t="e">
        <f>VLOOKUP(B243,Purchase!A:C,3,0)</f>
        <v>#N/A</v>
      </c>
      <c r="H243" s="2" t="e">
        <f>VLOOKUP(G243,ProductList!A:B,2,0)</f>
        <v>#N/A</v>
      </c>
    </row>
    <row r="244" spans="1:8" hidden="1">
      <c r="A244">
        <v>243</v>
      </c>
      <c r="B244">
        <v>243</v>
      </c>
      <c r="C244" s="2" t="e">
        <f>VLOOKUP(B244,Purchase!A:I,9,0)</f>
        <v>#N/A</v>
      </c>
      <c r="D244" s="5" t="e">
        <f>VLOOKUP(B244,Purchase!A:B,2,0)</f>
        <v>#N/A</v>
      </c>
      <c r="E244" t="s">
        <v>4</v>
      </c>
      <c r="F244">
        <v>4.5</v>
      </c>
      <c r="G244" s="2" t="e">
        <f>VLOOKUP(B244,Purchase!A:C,3,0)</f>
        <v>#N/A</v>
      </c>
      <c r="H244" s="2" t="e">
        <f>VLOOKUP(G244,ProductList!A:B,2,0)</f>
        <v>#N/A</v>
      </c>
    </row>
    <row r="245" spans="1:8" hidden="1">
      <c r="A245">
        <v>244</v>
      </c>
      <c r="B245">
        <v>244</v>
      </c>
      <c r="C245" s="2" t="e">
        <f>VLOOKUP(B245,Purchase!A:I,9,0)</f>
        <v>#N/A</v>
      </c>
      <c r="D245" s="5" t="e">
        <f>VLOOKUP(B245,Purchase!A:B,2,0)</f>
        <v>#N/A</v>
      </c>
      <c r="E245" t="s">
        <v>4</v>
      </c>
      <c r="F245">
        <v>5</v>
      </c>
      <c r="G245" s="2" t="e">
        <f>VLOOKUP(B245,Purchase!A:C,3,0)</f>
        <v>#N/A</v>
      </c>
      <c r="H245" s="2" t="e">
        <f>VLOOKUP(G245,ProductList!A:B,2,0)</f>
        <v>#N/A</v>
      </c>
    </row>
    <row r="246" spans="1:8" hidden="1">
      <c r="A246">
        <v>245</v>
      </c>
      <c r="B246">
        <v>245</v>
      </c>
      <c r="C246" s="2" t="e">
        <f>VLOOKUP(B246,Purchase!A:I,9,0)</f>
        <v>#N/A</v>
      </c>
      <c r="D246" s="5" t="e">
        <f>VLOOKUP(B246,Purchase!A:B,2,0)</f>
        <v>#N/A</v>
      </c>
      <c r="E246" t="s">
        <v>4</v>
      </c>
      <c r="F246">
        <v>0</v>
      </c>
      <c r="G246" s="2" t="e">
        <f>VLOOKUP(B246,Purchase!A:C,3,0)</f>
        <v>#N/A</v>
      </c>
      <c r="H246" s="2" t="e">
        <f>VLOOKUP(G246,ProductList!A:B,2,0)</f>
        <v>#N/A</v>
      </c>
    </row>
    <row r="247" spans="1:8" hidden="1">
      <c r="A247">
        <v>246</v>
      </c>
      <c r="B247">
        <v>246</v>
      </c>
      <c r="C247" s="2" t="e">
        <f>VLOOKUP(B247,Purchase!A:I,9,0)</f>
        <v>#N/A</v>
      </c>
      <c r="D247" s="5" t="e">
        <f>VLOOKUP(B247,Purchase!A:B,2,0)</f>
        <v>#N/A</v>
      </c>
      <c r="E247" t="s">
        <v>8</v>
      </c>
      <c r="F247">
        <v>1</v>
      </c>
      <c r="G247" s="2" t="e">
        <f>VLOOKUP(B247,Purchase!A:C,3,0)</f>
        <v>#N/A</v>
      </c>
      <c r="H247" s="2" t="e">
        <f>VLOOKUP(G247,ProductList!A:B,2,0)</f>
        <v>#N/A</v>
      </c>
    </row>
    <row r="248" spans="1:8" hidden="1">
      <c r="A248">
        <v>247</v>
      </c>
      <c r="B248">
        <v>247</v>
      </c>
      <c r="C248" s="2" t="e">
        <f>VLOOKUP(B248,Purchase!A:I,9,0)</f>
        <v>#N/A</v>
      </c>
      <c r="D248" s="5" t="e">
        <f>VLOOKUP(B248,Purchase!A:B,2,0)</f>
        <v>#N/A</v>
      </c>
      <c r="E248" t="s">
        <v>7</v>
      </c>
      <c r="F248">
        <v>1.5</v>
      </c>
      <c r="G248" s="2" t="e">
        <f>VLOOKUP(B248,Purchase!A:C,3,0)</f>
        <v>#N/A</v>
      </c>
      <c r="H248" s="2" t="e">
        <f>VLOOKUP(G248,ProductList!A:B,2,0)</f>
        <v>#N/A</v>
      </c>
    </row>
    <row r="249" spans="1:8" hidden="1">
      <c r="A249">
        <v>248</v>
      </c>
      <c r="B249">
        <v>248</v>
      </c>
      <c r="C249" s="2" t="e">
        <f>VLOOKUP(B249,Purchase!A:I,9,0)</f>
        <v>#N/A</v>
      </c>
      <c r="D249" s="5" t="e">
        <f>VLOOKUP(B249,Purchase!A:B,2,0)</f>
        <v>#N/A</v>
      </c>
      <c r="E249" t="s">
        <v>8</v>
      </c>
      <c r="F249">
        <v>2</v>
      </c>
      <c r="G249" s="2" t="e">
        <f>VLOOKUP(B249,Purchase!A:C,3,0)</f>
        <v>#N/A</v>
      </c>
      <c r="H249" s="2" t="e">
        <f>VLOOKUP(G249,ProductList!A:B,2,0)</f>
        <v>#N/A</v>
      </c>
    </row>
    <row r="250" spans="1:8" hidden="1">
      <c r="A250">
        <v>249</v>
      </c>
      <c r="B250">
        <v>249</v>
      </c>
      <c r="C250" s="2" t="e">
        <f>VLOOKUP(B250,Purchase!A:I,9,0)</f>
        <v>#N/A</v>
      </c>
      <c r="D250" s="5" t="e">
        <f>VLOOKUP(B250,Purchase!A:B,2,0)</f>
        <v>#N/A</v>
      </c>
      <c r="E250" t="s">
        <v>5</v>
      </c>
      <c r="F250">
        <v>2.5</v>
      </c>
      <c r="G250" s="2" t="e">
        <f>VLOOKUP(B250,Purchase!A:C,3,0)</f>
        <v>#N/A</v>
      </c>
      <c r="H250" s="2" t="e">
        <f>VLOOKUP(G250,ProductList!A:B,2,0)</f>
        <v>#N/A</v>
      </c>
    </row>
    <row r="251" spans="1:8" hidden="1">
      <c r="A251">
        <v>250</v>
      </c>
      <c r="B251">
        <v>250</v>
      </c>
      <c r="C251" s="2" t="e">
        <f>VLOOKUP(B251,Purchase!A:I,9,0)</f>
        <v>#N/A</v>
      </c>
      <c r="D251" s="5" t="e">
        <f>VLOOKUP(B251,Purchase!A:B,2,0)</f>
        <v>#N/A</v>
      </c>
      <c r="E251" t="s">
        <v>4</v>
      </c>
      <c r="F251">
        <v>3</v>
      </c>
      <c r="G251" s="2" t="e">
        <f>VLOOKUP(B251,Purchase!A:C,3,0)</f>
        <v>#N/A</v>
      </c>
      <c r="H251" s="2" t="e">
        <f>VLOOKUP(G251,ProductList!A:B,2,0)</f>
        <v>#N/A</v>
      </c>
    </row>
    <row r="252" spans="1:8" hidden="1">
      <c r="A252">
        <v>251</v>
      </c>
      <c r="B252">
        <v>251</v>
      </c>
      <c r="C252" s="2" t="e">
        <f>VLOOKUP(B252,Purchase!A:I,9,0)</f>
        <v>#N/A</v>
      </c>
      <c r="D252" s="5" t="e">
        <f>VLOOKUP(B252,Purchase!A:B,2,0)</f>
        <v>#N/A</v>
      </c>
      <c r="E252" t="s">
        <v>6</v>
      </c>
      <c r="F252">
        <v>3.5</v>
      </c>
      <c r="G252" s="2" t="e">
        <f>VLOOKUP(B252,Purchase!A:C,3,0)</f>
        <v>#N/A</v>
      </c>
      <c r="H252" s="2" t="e">
        <f>VLOOKUP(G252,ProductList!A:B,2,0)</f>
        <v>#N/A</v>
      </c>
    </row>
    <row r="253" spans="1:8" hidden="1">
      <c r="A253">
        <v>252</v>
      </c>
      <c r="B253">
        <v>252</v>
      </c>
      <c r="C253" s="2" t="e">
        <f>VLOOKUP(B253,Purchase!A:I,9,0)</f>
        <v>#N/A</v>
      </c>
      <c r="D253" s="5" t="e">
        <f>VLOOKUP(B253,Purchase!A:B,2,0)</f>
        <v>#N/A</v>
      </c>
      <c r="E253" t="s">
        <v>8</v>
      </c>
      <c r="F253">
        <v>4</v>
      </c>
      <c r="G253" s="2" t="e">
        <f>VLOOKUP(B253,Purchase!A:C,3,0)</f>
        <v>#N/A</v>
      </c>
      <c r="H253" s="2" t="e">
        <f>VLOOKUP(G253,ProductList!A:B,2,0)</f>
        <v>#N/A</v>
      </c>
    </row>
    <row r="254" spans="1:8" hidden="1">
      <c r="A254">
        <v>253</v>
      </c>
      <c r="B254">
        <v>253</v>
      </c>
      <c r="C254" s="2" t="e">
        <f>VLOOKUP(B254,Purchase!A:I,9,0)</f>
        <v>#N/A</v>
      </c>
      <c r="D254" s="5" t="e">
        <f>VLOOKUP(B254,Purchase!A:B,2,0)</f>
        <v>#N/A</v>
      </c>
      <c r="E254" t="s">
        <v>5</v>
      </c>
      <c r="F254">
        <v>4.5</v>
      </c>
      <c r="G254" s="2" t="e">
        <f>VLOOKUP(B254,Purchase!A:C,3,0)</f>
        <v>#N/A</v>
      </c>
      <c r="H254" s="2" t="e">
        <f>VLOOKUP(G254,ProductList!A:B,2,0)</f>
        <v>#N/A</v>
      </c>
    </row>
    <row r="255" spans="1:8" hidden="1">
      <c r="A255">
        <v>254</v>
      </c>
      <c r="B255">
        <v>254</v>
      </c>
      <c r="C255" s="2" t="e">
        <f>VLOOKUP(B255,Purchase!A:I,9,0)</f>
        <v>#N/A</v>
      </c>
      <c r="D255" s="5" t="e">
        <f>VLOOKUP(B255,Purchase!A:B,2,0)</f>
        <v>#N/A</v>
      </c>
      <c r="E255" t="s">
        <v>7</v>
      </c>
      <c r="F255">
        <v>5</v>
      </c>
      <c r="G255" s="2" t="e">
        <f>VLOOKUP(B255,Purchase!A:C,3,0)</f>
        <v>#N/A</v>
      </c>
      <c r="H255" s="2" t="e">
        <f>VLOOKUP(G255,ProductList!A:B,2,0)</f>
        <v>#N/A</v>
      </c>
    </row>
    <row r="256" spans="1:8" hidden="1">
      <c r="A256">
        <v>255</v>
      </c>
      <c r="B256">
        <v>255</v>
      </c>
      <c r="C256" s="2" t="e">
        <f>VLOOKUP(B256,Purchase!A:I,9,0)</f>
        <v>#N/A</v>
      </c>
      <c r="D256" s="5" t="e">
        <f>VLOOKUP(B256,Purchase!A:B,2,0)</f>
        <v>#N/A</v>
      </c>
      <c r="E256" t="s">
        <v>8</v>
      </c>
      <c r="F256">
        <v>0</v>
      </c>
      <c r="G256" s="2" t="e">
        <f>VLOOKUP(B256,Purchase!A:C,3,0)</f>
        <v>#N/A</v>
      </c>
      <c r="H256" s="2" t="e">
        <f>VLOOKUP(G256,ProductList!A:B,2,0)</f>
        <v>#N/A</v>
      </c>
    </row>
    <row r="257" spans="1:8" hidden="1">
      <c r="A257">
        <v>256</v>
      </c>
      <c r="B257">
        <v>256</v>
      </c>
      <c r="C257" s="2" t="e">
        <f>VLOOKUP(B257,Purchase!A:I,9,0)</f>
        <v>#N/A</v>
      </c>
      <c r="D257" s="5" t="e">
        <f>VLOOKUP(B257,Purchase!A:B,2,0)</f>
        <v>#N/A</v>
      </c>
      <c r="E257" t="s">
        <v>7</v>
      </c>
      <c r="F257">
        <v>1</v>
      </c>
      <c r="G257" s="2" t="e">
        <f>VLOOKUP(B257,Purchase!A:C,3,0)</f>
        <v>#N/A</v>
      </c>
      <c r="H257" s="2" t="e">
        <f>VLOOKUP(G257,ProductList!A:B,2,0)</f>
        <v>#N/A</v>
      </c>
    </row>
    <row r="258" spans="1:8" hidden="1">
      <c r="A258">
        <v>257</v>
      </c>
      <c r="B258">
        <v>257</v>
      </c>
      <c r="C258" s="2" t="e">
        <f>VLOOKUP(B258,Purchase!A:I,9,0)</f>
        <v>#N/A</v>
      </c>
      <c r="D258" s="5" t="e">
        <f>VLOOKUP(B258,Purchase!A:B,2,0)</f>
        <v>#N/A</v>
      </c>
      <c r="E258" t="s">
        <v>8</v>
      </c>
      <c r="F258">
        <v>1.5</v>
      </c>
      <c r="G258" s="2" t="e">
        <f>VLOOKUP(B258,Purchase!A:C,3,0)</f>
        <v>#N/A</v>
      </c>
      <c r="H258" s="2" t="e">
        <f>VLOOKUP(G258,ProductList!A:B,2,0)</f>
        <v>#N/A</v>
      </c>
    </row>
    <row r="259" spans="1:8" hidden="1">
      <c r="A259">
        <v>258</v>
      </c>
      <c r="B259">
        <v>258</v>
      </c>
      <c r="C259" s="2" t="e">
        <f>VLOOKUP(B259,Purchase!A:I,9,0)</f>
        <v>#N/A</v>
      </c>
      <c r="D259" s="5" t="e">
        <f>VLOOKUP(B259,Purchase!A:B,2,0)</f>
        <v>#N/A</v>
      </c>
      <c r="E259" t="s">
        <v>5</v>
      </c>
      <c r="F259">
        <v>2</v>
      </c>
      <c r="G259" s="2" t="e">
        <f>VLOOKUP(B259,Purchase!A:C,3,0)</f>
        <v>#N/A</v>
      </c>
      <c r="H259" s="2" t="e">
        <f>VLOOKUP(G259,ProductList!A:B,2,0)</f>
        <v>#N/A</v>
      </c>
    </row>
    <row r="260" spans="1:8" hidden="1">
      <c r="A260">
        <v>259</v>
      </c>
      <c r="B260">
        <v>259</v>
      </c>
      <c r="C260" s="2" t="e">
        <f>VLOOKUP(B260,Purchase!A:I,9,0)</f>
        <v>#N/A</v>
      </c>
      <c r="D260" s="5" t="e">
        <f>VLOOKUP(B260,Purchase!A:B,2,0)</f>
        <v>#N/A</v>
      </c>
      <c r="E260" t="s">
        <v>4</v>
      </c>
      <c r="F260">
        <v>2.5</v>
      </c>
      <c r="G260" s="2" t="e">
        <f>VLOOKUP(B260,Purchase!A:C,3,0)</f>
        <v>#N/A</v>
      </c>
      <c r="H260" s="2" t="e">
        <f>VLOOKUP(G260,ProductList!A:B,2,0)</f>
        <v>#N/A</v>
      </c>
    </row>
    <row r="261" spans="1:8" hidden="1">
      <c r="A261">
        <v>260</v>
      </c>
      <c r="B261">
        <v>260</v>
      </c>
      <c r="C261" s="2" t="e">
        <f>VLOOKUP(B261,Purchase!A:I,9,0)</f>
        <v>#N/A</v>
      </c>
      <c r="D261" s="5" t="e">
        <f>VLOOKUP(B261,Purchase!A:B,2,0)</f>
        <v>#N/A</v>
      </c>
      <c r="E261" t="s">
        <v>5</v>
      </c>
      <c r="F261">
        <v>3</v>
      </c>
      <c r="G261" s="2" t="e">
        <f>VLOOKUP(B261,Purchase!A:C,3,0)</f>
        <v>#N/A</v>
      </c>
      <c r="H261" s="2" t="e">
        <f>VLOOKUP(G261,ProductList!A:B,2,0)</f>
        <v>#N/A</v>
      </c>
    </row>
    <row r="262" spans="1:8" hidden="1">
      <c r="A262">
        <v>261</v>
      </c>
      <c r="B262">
        <v>261</v>
      </c>
      <c r="C262" s="2" t="e">
        <f>VLOOKUP(B262,Purchase!A:I,9,0)</f>
        <v>#N/A</v>
      </c>
      <c r="D262" s="5" t="e">
        <f>VLOOKUP(B262,Purchase!A:B,2,0)</f>
        <v>#N/A</v>
      </c>
      <c r="E262" t="s">
        <v>4</v>
      </c>
      <c r="F262">
        <v>3.5</v>
      </c>
      <c r="G262" s="2" t="e">
        <f>VLOOKUP(B262,Purchase!A:C,3,0)</f>
        <v>#N/A</v>
      </c>
      <c r="H262" s="2" t="e">
        <f>VLOOKUP(G262,ProductList!A:B,2,0)</f>
        <v>#N/A</v>
      </c>
    </row>
    <row r="263" spans="1:8" hidden="1">
      <c r="A263">
        <v>262</v>
      </c>
      <c r="B263">
        <v>262</v>
      </c>
      <c r="C263" s="2" t="e">
        <f>VLOOKUP(B263,Purchase!A:I,9,0)</f>
        <v>#N/A</v>
      </c>
      <c r="D263" s="5" t="e">
        <f>VLOOKUP(B263,Purchase!A:B,2,0)</f>
        <v>#N/A</v>
      </c>
      <c r="E263" t="s">
        <v>7</v>
      </c>
      <c r="F263">
        <v>4</v>
      </c>
      <c r="G263" s="2" t="e">
        <f>VLOOKUP(B263,Purchase!A:C,3,0)</f>
        <v>#N/A</v>
      </c>
      <c r="H263" s="2" t="e">
        <f>VLOOKUP(G263,ProductList!A:B,2,0)</f>
        <v>#N/A</v>
      </c>
    </row>
    <row r="264" spans="1:8" hidden="1">
      <c r="A264">
        <v>263</v>
      </c>
      <c r="B264">
        <v>263</v>
      </c>
      <c r="C264" s="2" t="e">
        <f>VLOOKUP(B264,Purchase!A:I,9,0)</f>
        <v>#N/A</v>
      </c>
      <c r="D264" s="5" t="e">
        <f>VLOOKUP(B264,Purchase!A:B,2,0)</f>
        <v>#N/A</v>
      </c>
      <c r="E264" t="s">
        <v>7</v>
      </c>
      <c r="F264">
        <v>4.5</v>
      </c>
      <c r="G264" s="2" t="e">
        <f>VLOOKUP(B264,Purchase!A:C,3,0)</f>
        <v>#N/A</v>
      </c>
      <c r="H264" s="2" t="e">
        <f>VLOOKUP(G264,ProductList!A:B,2,0)</f>
        <v>#N/A</v>
      </c>
    </row>
    <row r="265" spans="1:8" hidden="1">
      <c r="A265">
        <v>264</v>
      </c>
      <c r="B265">
        <v>264</v>
      </c>
      <c r="C265" s="2" t="e">
        <f>VLOOKUP(B265,Purchase!A:I,9,0)</f>
        <v>#N/A</v>
      </c>
      <c r="D265" s="5" t="e">
        <f>VLOOKUP(B265,Purchase!A:B,2,0)</f>
        <v>#N/A</v>
      </c>
      <c r="E265" t="s">
        <v>7</v>
      </c>
      <c r="F265">
        <v>5</v>
      </c>
      <c r="G265" s="2" t="e">
        <f>VLOOKUP(B265,Purchase!A:C,3,0)</f>
        <v>#N/A</v>
      </c>
      <c r="H265" s="2" t="e">
        <f>VLOOKUP(G265,ProductList!A:B,2,0)</f>
        <v>#N/A</v>
      </c>
    </row>
    <row r="266" spans="1:8" hidden="1">
      <c r="A266">
        <v>265</v>
      </c>
      <c r="B266">
        <v>265</v>
      </c>
      <c r="C266" s="2" t="e">
        <f>VLOOKUP(B266,Purchase!A:I,9,0)</f>
        <v>#N/A</v>
      </c>
      <c r="D266" s="5" t="e">
        <f>VLOOKUP(B266,Purchase!A:B,2,0)</f>
        <v>#N/A</v>
      </c>
      <c r="E266" t="s">
        <v>8</v>
      </c>
      <c r="F266">
        <v>0</v>
      </c>
      <c r="G266" s="2" t="e">
        <f>VLOOKUP(B266,Purchase!A:C,3,0)</f>
        <v>#N/A</v>
      </c>
      <c r="H266" s="2" t="e">
        <f>VLOOKUP(G266,ProductList!A:B,2,0)</f>
        <v>#N/A</v>
      </c>
    </row>
    <row r="267" spans="1:8" hidden="1">
      <c r="A267">
        <v>266</v>
      </c>
      <c r="B267">
        <v>266</v>
      </c>
      <c r="C267" s="2" t="e">
        <f>VLOOKUP(B267,Purchase!A:I,9,0)</f>
        <v>#N/A</v>
      </c>
      <c r="D267" s="5" t="e">
        <f>VLOOKUP(B267,Purchase!A:B,2,0)</f>
        <v>#N/A</v>
      </c>
      <c r="E267" t="s">
        <v>8</v>
      </c>
      <c r="F267">
        <v>1</v>
      </c>
      <c r="G267" s="2" t="e">
        <f>VLOOKUP(B267,Purchase!A:C,3,0)</f>
        <v>#N/A</v>
      </c>
      <c r="H267" s="2" t="e">
        <f>VLOOKUP(G267,ProductList!A:B,2,0)</f>
        <v>#N/A</v>
      </c>
    </row>
    <row r="268" spans="1:8" hidden="1">
      <c r="A268">
        <v>267</v>
      </c>
      <c r="B268">
        <v>267</v>
      </c>
      <c r="C268" s="2" t="e">
        <f>VLOOKUP(B268,Purchase!A:I,9,0)</f>
        <v>#N/A</v>
      </c>
      <c r="D268" s="5" t="e">
        <f>VLOOKUP(B268,Purchase!A:B,2,0)</f>
        <v>#N/A</v>
      </c>
      <c r="E268" t="s">
        <v>6</v>
      </c>
      <c r="F268">
        <v>1.5</v>
      </c>
      <c r="G268" s="2" t="e">
        <f>VLOOKUP(B268,Purchase!A:C,3,0)</f>
        <v>#N/A</v>
      </c>
      <c r="H268" s="2" t="e">
        <f>VLOOKUP(G268,ProductList!A:B,2,0)</f>
        <v>#N/A</v>
      </c>
    </row>
    <row r="269" spans="1:8" hidden="1">
      <c r="A269">
        <v>268</v>
      </c>
      <c r="B269">
        <v>268</v>
      </c>
      <c r="C269" s="2" t="e">
        <f>VLOOKUP(B269,Purchase!A:I,9,0)</f>
        <v>#N/A</v>
      </c>
      <c r="D269" s="5" t="e">
        <f>VLOOKUP(B269,Purchase!A:B,2,0)</f>
        <v>#N/A</v>
      </c>
      <c r="E269" t="s">
        <v>6</v>
      </c>
      <c r="F269">
        <v>2</v>
      </c>
      <c r="G269" s="2" t="e">
        <f>VLOOKUP(B269,Purchase!A:C,3,0)</f>
        <v>#N/A</v>
      </c>
      <c r="H269" s="2" t="e">
        <f>VLOOKUP(G269,ProductList!A:B,2,0)</f>
        <v>#N/A</v>
      </c>
    </row>
    <row r="270" spans="1:8" hidden="1">
      <c r="A270">
        <v>269</v>
      </c>
      <c r="B270">
        <v>269</v>
      </c>
      <c r="C270" s="2" t="e">
        <f>VLOOKUP(B270,Purchase!A:I,9,0)</f>
        <v>#N/A</v>
      </c>
      <c r="D270" s="5" t="e">
        <f>VLOOKUP(B270,Purchase!A:B,2,0)</f>
        <v>#N/A</v>
      </c>
      <c r="E270" t="s">
        <v>4</v>
      </c>
      <c r="F270">
        <v>2.5</v>
      </c>
      <c r="G270" s="2" t="e">
        <f>VLOOKUP(B270,Purchase!A:C,3,0)</f>
        <v>#N/A</v>
      </c>
      <c r="H270" s="2" t="e">
        <f>VLOOKUP(G270,ProductList!A:B,2,0)</f>
        <v>#N/A</v>
      </c>
    </row>
    <row r="271" spans="1:8" hidden="1">
      <c r="A271">
        <v>270</v>
      </c>
      <c r="B271">
        <v>270</v>
      </c>
      <c r="C271" s="2" t="e">
        <f>VLOOKUP(B271,Purchase!A:I,9,0)</f>
        <v>#N/A</v>
      </c>
      <c r="D271" s="5" t="e">
        <f>VLOOKUP(B271,Purchase!A:B,2,0)</f>
        <v>#N/A</v>
      </c>
      <c r="E271" t="s">
        <v>8</v>
      </c>
      <c r="F271">
        <v>3</v>
      </c>
      <c r="G271" s="2" t="e">
        <f>VLOOKUP(B271,Purchase!A:C,3,0)</f>
        <v>#N/A</v>
      </c>
      <c r="H271" s="2" t="e">
        <f>VLOOKUP(G271,ProductList!A:B,2,0)</f>
        <v>#N/A</v>
      </c>
    </row>
    <row r="272" spans="1:8" hidden="1">
      <c r="A272">
        <v>271</v>
      </c>
      <c r="B272">
        <v>271</v>
      </c>
      <c r="C272" s="2" t="e">
        <f>VLOOKUP(B272,Purchase!A:I,9,0)</f>
        <v>#N/A</v>
      </c>
      <c r="D272" s="5" t="e">
        <f>VLOOKUP(B272,Purchase!A:B,2,0)</f>
        <v>#N/A</v>
      </c>
      <c r="E272" t="s">
        <v>8</v>
      </c>
      <c r="F272">
        <v>3.5</v>
      </c>
      <c r="G272" s="2" t="e">
        <f>VLOOKUP(B272,Purchase!A:C,3,0)</f>
        <v>#N/A</v>
      </c>
      <c r="H272" s="2" t="e">
        <f>VLOOKUP(G272,ProductList!A:B,2,0)</f>
        <v>#N/A</v>
      </c>
    </row>
    <row r="273" spans="1:8" hidden="1">
      <c r="A273">
        <v>272</v>
      </c>
      <c r="B273">
        <v>272</v>
      </c>
      <c r="C273" s="2" t="e">
        <f>VLOOKUP(B273,Purchase!A:I,9,0)</f>
        <v>#N/A</v>
      </c>
      <c r="D273" s="5" t="e">
        <f>VLOOKUP(B273,Purchase!A:B,2,0)</f>
        <v>#N/A</v>
      </c>
      <c r="E273" t="s">
        <v>8</v>
      </c>
      <c r="F273">
        <v>4</v>
      </c>
      <c r="G273" s="2" t="e">
        <f>VLOOKUP(B273,Purchase!A:C,3,0)</f>
        <v>#N/A</v>
      </c>
      <c r="H273" s="2" t="e">
        <f>VLOOKUP(G273,ProductList!A:B,2,0)</f>
        <v>#N/A</v>
      </c>
    </row>
    <row r="274" spans="1:8" hidden="1">
      <c r="A274">
        <v>273</v>
      </c>
      <c r="B274">
        <v>273</v>
      </c>
      <c r="C274" s="2" t="e">
        <f>VLOOKUP(B274,Purchase!A:I,9,0)</f>
        <v>#N/A</v>
      </c>
      <c r="D274" s="5" t="e">
        <f>VLOOKUP(B274,Purchase!A:B,2,0)</f>
        <v>#N/A</v>
      </c>
      <c r="E274" t="s">
        <v>7</v>
      </c>
      <c r="F274">
        <v>4.5</v>
      </c>
      <c r="G274" s="2" t="e">
        <f>VLOOKUP(B274,Purchase!A:C,3,0)</f>
        <v>#N/A</v>
      </c>
      <c r="H274" s="2" t="e">
        <f>VLOOKUP(G274,ProductList!A:B,2,0)</f>
        <v>#N/A</v>
      </c>
    </row>
    <row r="275" spans="1:8" hidden="1">
      <c r="A275">
        <v>274</v>
      </c>
      <c r="B275">
        <v>274</v>
      </c>
      <c r="C275" s="2" t="e">
        <f>VLOOKUP(B275,Purchase!A:I,9,0)</f>
        <v>#N/A</v>
      </c>
      <c r="D275" s="5" t="e">
        <f>VLOOKUP(B275,Purchase!A:B,2,0)</f>
        <v>#N/A</v>
      </c>
      <c r="E275" t="s">
        <v>4</v>
      </c>
      <c r="F275">
        <v>5</v>
      </c>
      <c r="G275" s="2" t="e">
        <f>VLOOKUP(B275,Purchase!A:C,3,0)</f>
        <v>#N/A</v>
      </c>
      <c r="H275" s="2" t="e">
        <f>VLOOKUP(G275,ProductList!A:B,2,0)</f>
        <v>#N/A</v>
      </c>
    </row>
    <row r="276" spans="1:8" hidden="1">
      <c r="A276">
        <v>275</v>
      </c>
      <c r="B276">
        <v>275</v>
      </c>
      <c r="C276" s="2" t="e">
        <f>VLOOKUP(B276,Purchase!A:I,9,0)</f>
        <v>#N/A</v>
      </c>
      <c r="D276" s="5" t="e">
        <f>VLOOKUP(B276,Purchase!A:B,2,0)</f>
        <v>#N/A</v>
      </c>
      <c r="E276" t="s">
        <v>4</v>
      </c>
      <c r="F276">
        <v>0</v>
      </c>
      <c r="G276" s="2" t="e">
        <f>VLOOKUP(B276,Purchase!A:C,3,0)</f>
        <v>#N/A</v>
      </c>
      <c r="H276" s="2" t="e">
        <f>VLOOKUP(G276,ProductList!A:B,2,0)</f>
        <v>#N/A</v>
      </c>
    </row>
    <row r="277" spans="1:8" hidden="1">
      <c r="A277">
        <v>276</v>
      </c>
      <c r="B277">
        <v>276</v>
      </c>
      <c r="C277" s="2" t="e">
        <f>VLOOKUP(B277,Purchase!A:I,9,0)</f>
        <v>#N/A</v>
      </c>
      <c r="D277" s="5" t="e">
        <f>VLOOKUP(B277,Purchase!A:B,2,0)</f>
        <v>#N/A</v>
      </c>
      <c r="E277" t="s">
        <v>5</v>
      </c>
      <c r="F277">
        <v>1</v>
      </c>
      <c r="G277" s="2" t="e">
        <f>VLOOKUP(B277,Purchase!A:C,3,0)</f>
        <v>#N/A</v>
      </c>
      <c r="H277" s="2" t="e">
        <f>VLOOKUP(G277,ProductList!A:B,2,0)</f>
        <v>#N/A</v>
      </c>
    </row>
    <row r="278" spans="1:8" hidden="1">
      <c r="A278">
        <v>277</v>
      </c>
      <c r="B278">
        <v>277</v>
      </c>
      <c r="C278" s="2" t="e">
        <f>VLOOKUP(B278,Purchase!A:I,9,0)</f>
        <v>#N/A</v>
      </c>
      <c r="D278" s="5" t="e">
        <f>VLOOKUP(B278,Purchase!A:B,2,0)</f>
        <v>#N/A</v>
      </c>
      <c r="E278" t="s">
        <v>7</v>
      </c>
      <c r="F278">
        <v>1.5</v>
      </c>
      <c r="G278" s="2" t="e">
        <f>VLOOKUP(B278,Purchase!A:C,3,0)</f>
        <v>#N/A</v>
      </c>
      <c r="H278" s="2" t="e">
        <f>VLOOKUP(G278,ProductList!A:B,2,0)</f>
        <v>#N/A</v>
      </c>
    </row>
    <row r="279" spans="1:8" hidden="1">
      <c r="A279">
        <v>278</v>
      </c>
      <c r="B279">
        <v>278</v>
      </c>
      <c r="C279" s="2" t="e">
        <f>VLOOKUP(B279,Purchase!A:I,9,0)</f>
        <v>#N/A</v>
      </c>
      <c r="D279" s="5" t="e">
        <f>VLOOKUP(B279,Purchase!A:B,2,0)</f>
        <v>#N/A</v>
      </c>
      <c r="E279" t="s">
        <v>5</v>
      </c>
      <c r="F279">
        <v>2</v>
      </c>
      <c r="G279" s="2" t="e">
        <f>VLOOKUP(B279,Purchase!A:C,3,0)</f>
        <v>#N/A</v>
      </c>
      <c r="H279" s="2" t="e">
        <f>VLOOKUP(G279,ProductList!A:B,2,0)</f>
        <v>#N/A</v>
      </c>
    </row>
    <row r="280" spans="1:8" hidden="1">
      <c r="A280">
        <v>279</v>
      </c>
      <c r="B280">
        <v>279</v>
      </c>
      <c r="C280" s="2" t="e">
        <f>VLOOKUP(B280,Purchase!A:I,9,0)</f>
        <v>#N/A</v>
      </c>
      <c r="D280" s="5" t="e">
        <f>VLOOKUP(B280,Purchase!A:B,2,0)</f>
        <v>#N/A</v>
      </c>
      <c r="E280" t="s">
        <v>5</v>
      </c>
      <c r="F280">
        <v>2.5</v>
      </c>
      <c r="G280" s="2" t="e">
        <f>VLOOKUP(B280,Purchase!A:C,3,0)</f>
        <v>#N/A</v>
      </c>
      <c r="H280" s="2" t="e">
        <f>VLOOKUP(G280,ProductList!A:B,2,0)</f>
        <v>#N/A</v>
      </c>
    </row>
    <row r="281" spans="1:8" hidden="1">
      <c r="A281">
        <v>280</v>
      </c>
      <c r="B281">
        <v>280</v>
      </c>
      <c r="C281" s="2" t="e">
        <f>VLOOKUP(B281,Purchase!A:I,9,0)</f>
        <v>#N/A</v>
      </c>
      <c r="D281" s="5" t="e">
        <f>VLOOKUP(B281,Purchase!A:B,2,0)</f>
        <v>#N/A</v>
      </c>
      <c r="E281" t="s">
        <v>8</v>
      </c>
      <c r="F281">
        <v>3</v>
      </c>
      <c r="G281" s="2" t="e">
        <f>VLOOKUP(B281,Purchase!A:C,3,0)</f>
        <v>#N/A</v>
      </c>
      <c r="H281" s="2" t="e">
        <f>VLOOKUP(G281,ProductList!A:B,2,0)</f>
        <v>#N/A</v>
      </c>
    </row>
    <row r="282" spans="1:8" hidden="1">
      <c r="A282">
        <v>281</v>
      </c>
      <c r="B282">
        <v>281</v>
      </c>
      <c r="C282" s="2" t="e">
        <f>VLOOKUP(B282,Purchase!A:I,9,0)</f>
        <v>#N/A</v>
      </c>
      <c r="D282" s="5" t="e">
        <f>VLOOKUP(B282,Purchase!A:B,2,0)</f>
        <v>#N/A</v>
      </c>
      <c r="E282" t="s">
        <v>4</v>
      </c>
      <c r="F282">
        <v>3.5</v>
      </c>
      <c r="G282" s="2" t="e">
        <f>VLOOKUP(B282,Purchase!A:C,3,0)</f>
        <v>#N/A</v>
      </c>
      <c r="H282" s="2" t="e">
        <f>VLOOKUP(G282,ProductList!A:B,2,0)</f>
        <v>#N/A</v>
      </c>
    </row>
    <row r="283" spans="1:8" hidden="1">
      <c r="A283">
        <v>282</v>
      </c>
      <c r="B283">
        <v>282</v>
      </c>
      <c r="C283" s="2" t="e">
        <f>VLOOKUP(B283,Purchase!A:I,9,0)</f>
        <v>#N/A</v>
      </c>
      <c r="D283" s="5" t="e">
        <f>VLOOKUP(B283,Purchase!A:B,2,0)</f>
        <v>#N/A</v>
      </c>
      <c r="E283" t="s">
        <v>5</v>
      </c>
      <c r="F283">
        <v>4</v>
      </c>
      <c r="G283" s="2" t="e">
        <f>VLOOKUP(B283,Purchase!A:C,3,0)</f>
        <v>#N/A</v>
      </c>
      <c r="H283" s="2" t="e">
        <f>VLOOKUP(G283,ProductList!A:B,2,0)</f>
        <v>#N/A</v>
      </c>
    </row>
    <row r="284" spans="1:8" hidden="1">
      <c r="A284">
        <v>283</v>
      </c>
      <c r="B284">
        <v>283</v>
      </c>
      <c r="C284" s="2" t="e">
        <f>VLOOKUP(B284,Purchase!A:I,9,0)</f>
        <v>#N/A</v>
      </c>
      <c r="D284" s="5" t="e">
        <f>VLOOKUP(B284,Purchase!A:B,2,0)</f>
        <v>#N/A</v>
      </c>
      <c r="E284" t="s">
        <v>4</v>
      </c>
      <c r="F284">
        <v>4.5</v>
      </c>
      <c r="G284" s="2" t="e">
        <f>VLOOKUP(B284,Purchase!A:C,3,0)</f>
        <v>#N/A</v>
      </c>
      <c r="H284" s="2" t="e">
        <f>VLOOKUP(G284,ProductList!A:B,2,0)</f>
        <v>#N/A</v>
      </c>
    </row>
    <row r="285" spans="1:8" hidden="1">
      <c r="A285">
        <v>284</v>
      </c>
      <c r="B285">
        <v>284</v>
      </c>
      <c r="C285" s="2" t="e">
        <f>VLOOKUP(B285,Purchase!A:I,9,0)</f>
        <v>#N/A</v>
      </c>
      <c r="D285" s="5" t="e">
        <f>VLOOKUP(B285,Purchase!A:B,2,0)</f>
        <v>#N/A</v>
      </c>
      <c r="E285" t="s">
        <v>5</v>
      </c>
      <c r="F285">
        <v>5</v>
      </c>
      <c r="G285" s="2" t="e">
        <f>VLOOKUP(B285,Purchase!A:C,3,0)</f>
        <v>#N/A</v>
      </c>
      <c r="H285" s="2" t="e">
        <f>VLOOKUP(G285,ProductList!A:B,2,0)</f>
        <v>#N/A</v>
      </c>
    </row>
    <row r="286" spans="1:8" hidden="1">
      <c r="A286">
        <v>285</v>
      </c>
      <c r="B286">
        <v>285</v>
      </c>
      <c r="C286" s="2" t="e">
        <f>VLOOKUP(B286,Purchase!A:I,9,0)</f>
        <v>#N/A</v>
      </c>
      <c r="D286" s="5" t="e">
        <f>VLOOKUP(B286,Purchase!A:B,2,0)</f>
        <v>#N/A</v>
      </c>
      <c r="E286" t="s">
        <v>8</v>
      </c>
      <c r="F286">
        <v>0</v>
      </c>
      <c r="G286" s="2" t="e">
        <f>VLOOKUP(B286,Purchase!A:C,3,0)</f>
        <v>#N/A</v>
      </c>
      <c r="H286" s="2" t="e">
        <f>VLOOKUP(G286,ProductList!A:B,2,0)</f>
        <v>#N/A</v>
      </c>
    </row>
    <row r="287" spans="1:8" hidden="1">
      <c r="A287">
        <v>286</v>
      </c>
      <c r="B287">
        <v>286</v>
      </c>
      <c r="C287" s="2" t="e">
        <f>VLOOKUP(B287,Purchase!A:I,9,0)</f>
        <v>#N/A</v>
      </c>
      <c r="D287" s="5" t="e">
        <f>VLOOKUP(B287,Purchase!A:B,2,0)</f>
        <v>#N/A</v>
      </c>
      <c r="E287" t="s">
        <v>4</v>
      </c>
      <c r="F287">
        <v>1</v>
      </c>
      <c r="G287" s="2" t="e">
        <f>VLOOKUP(B287,Purchase!A:C,3,0)</f>
        <v>#N/A</v>
      </c>
      <c r="H287" s="2" t="e">
        <f>VLOOKUP(G287,ProductList!A:B,2,0)</f>
        <v>#N/A</v>
      </c>
    </row>
    <row r="288" spans="1:8" hidden="1">
      <c r="A288">
        <v>287</v>
      </c>
      <c r="B288">
        <v>287</v>
      </c>
      <c r="C288" s="2" t="e">
        <f>VLOOKUP(B288,Purchase!A:I,9,0)</f>
        <v>#N/A</v>
      </c>
      <c r="D288" s="5" t="e">
        <f>VLOOKUP(B288,Purchase!A:B,2,0)</f>
        <v>#N/A</v>
      </c>
      <c r="E288" t="s">
        <v>6</v>
      </c>
      <c r="F288">
        <v>1.5</v>
      </c>
      <c r="G288" s="2" t="e">
        <f>VLOOKUP(B288,Purchase!A:C,3,0)</f>
        <v>#N/A</v>
      </c>
      <c r="H288" s="2" t="e">
        <f>VLOOKUP(G288,ProductList!A:B,2,0)</f>
        <v>#N/A</v>
      </c>
    </row>
    <row r="289" spans="1:8" hidden="1">
      <c r="A289">
        <v>288</v>
      </c>
      <c r="B289">
        <v>288</v>
      </c>
      <c r="C289" s="2" t="e">
        <f>VLOOKUP(B289,Purchase!A:I,9,0)</f>
        <v>#N/A</v>
      </c>
      <c r="D289" s="5" t="e">
        <f>VLOOKUP(B289,Purchase!A:B,2,0)</f>
        <v>#N/A</v>
      </c>
      <c r="E289" t="s">
        <v>5</v>
      </c>
      <c r="F289">
        <v>2</v>
      </c>
      <c r="G289" s="2" t="e">
        <f>VLOOKUP(B289,Purchase!A:C,3,0)</f>
        <v>#N/A</v>
      </c>
      <c r="H289" s="2" t="e">
        <f>VLOOKUP(G289,ProductList!A:B,2,0)</f>
        <v>#N/A</v>
      </c>
    </row>
    <row r="290" spans="1:8" hidden="1">
      <c r="A290">
        <v>289</v>
      </c>
      <c r="B290">
        <v>289</v>
      </c>
      <c r="C290" s="2" t="e">
        <f>VLOOKUP(B290,Purchase!A:I,9,0)</f>
        <v>#N/A</v>
      </c>
      <c r="D290" s="5" t="e">
        <f>VLOOKUP(B290,Purchase!A:B,2,0)</f>
        <v>#N/A</v>
      </c>
      <c r="E290" t="s">
        <v>8</v>
      </c>
      <c r="F290">
        <v>2.5</v>
      </c>
      <c r="G290" s="2" t="e">
        <f>VLOOKUP(B290,Purchase!A:C,3,0)</f>
        <v>#N/A</v>
      </c>
      <c r="H290" s="2" t="e">
        <f>VLOOKUP(G290,ProductList!A:B,2,0)</f>
        <v>#N/A</v>
      </c>
    </row>
    <row r="291" spans="1:8" hidden="1">
      <c r="A291">
        <v>290</v>
      </c>
      <c r="B291">
        <v>290</v>
      </c>
      <c r="C291" s="2" t="e">
        <f>VLOOKUP(B291,Purchase!A:I,9,0)</f>
        <v>#N/A</v>
      </c>
      <c r="D291" s="5" t="e">
        <f>VLOOKUP(B291,Purchase!A:B,2,0)</f>
        <v>#N/A</v>
      </c>
      <c r="E291" t="s">
        <v>8</v>
      </c>
      <c r="F291">
        <v>3</v>
      </c>
      <c r="G291" s="2" t="e">
        <f>VLOOKUP(B291,Purchase!A:C,3,0)</f>
        <v>#N/A</v>
      </c>
      <c r="H291" s="2" t="e">
        <f>VLOOKUP(G291,ProductList!A:B,2,0)</f>
        <v>#N/A</v>
      </c>
    </row>
    <row r="292" spans="1:8" hidden="1">
      <c r="A292">
        <v>291</v>
      </c>
      <c r="B292">
        <v>291</v>
      </c>
      <c r="C292" s="2" t="e">
        <f>VLOOKUP(B292,Purchase!A:I,9,0)</f>
        <v>#N/A</v>
      </c>
      <c r="D292" s="5" t="e">
        <f>VLOOKUP(B292,Purchase!A:B,2,0)</f>
        <v>#N/A</v>
      </c>
      <c r="E292" t="s">
        <v>8</v>
      </c>
      <c r="F292">
        <v>3.5</v>
      </c>
      <c r="G292" s="2" t="e">
        <f>VLOOKUP(B292,Purchase!A:C,3,0)</f>
        <v>#N/A</v>
      </c>
      <c r="H292" s="2" t="e">
        <f>VLOOKUP(G292,ProductList!A:B,2,0)</f>
        <v>#N/A</v>
      </c>
    </row>
    <row r="293" spans="1:8" hidden="1">
      <c r="A293">
        <v>292</v>
      </c>
      <c r="B293">
        <v>292</v>
      </c>
      <c r="C293" s="2" t="e">
        <f>VLOOKUP(B293,Purchase!A:I,9,0)</f>
        <v>#N/A</v>
      </c>
      <c r="D293" s="5" t="e">
        <f>VLOOKUP(B293,Purchase!A:B,2,0)</f>
        <v>#N/A</v>
      </c>
      <c r="E293" t="s">
        <v>4</v>
      </c>
      <c r="F293">
        <v>4</v>
      </c>
      <c r="G293" s="2" t="e">
        <f>VLOOKUP(B293,Purchase!A:C,3,0)</f>
        <v>#N/A</v>
      </c>
      <c r="H293" s="2" t="e">
        <f>VLOOKUP(G293,ProductList!A:B,2,0)</f>
        <v>#N/A</v>
      </c>
    </row>
    <row r="294" spans="1:8" hidden="1">
      <c r="A294">
        <v>293</v>
      </c>
      <c r="B294">
        <v>293</v>
      </c>
      <c r="C294" s="2" t="e">
        <f>VLOOKUP(B294,Purchase!A:I,9,0)</f>
        <v>#N/A</v>
      </c>
      <c r="D294" s="5" t="e">
        <f>VLOOKUP(B294,Purchase!A:B,2,0)</f>
        <v>#N/A</v>
      </c>
      <c r="E294" t="s">
        <v>7</v>
      </c>
      <c r="F294">
        <v>4.5</v>
      </c>
      <c r="G294" s="2" t="e">
        <f>VLOOKUP(B294,Purchase!A:C,3,0)</f>
        <v>#N/A</v>
      </c>
      <c r="H294" s="2" t="e">
        <f>VLOOKUP(G294,ProductList!A:B,2,0)</f>
        <v>#N/A</v>
      </c>
    </row>
    <row r="295" spans="1:8" hidden="1">
      <c r="A295">
        <v>294</v>
      </c>
      <c r="B295">
        <v>294</v>
      </c>
      <c r="C295" s="2" t="e">
        <f>VLOOKUP(B295,Purchase!A:I,9,0)</f>
        <v>#N/A</v>
      </c>
      <c r="D295" s="5" t="e">
        <f>VLOOKUP(B295,Purchase!A:B,2,0)</f>
        <v>#N/A</v>
      </c>
      <c r="E295" t="s">
        <v>7</v>
      </c>
      <c r="F295">
        <v>5</v>
      </c>
      <c r="G295" s="2" t="e">
        <f>VLOOKUP(B295,Purchase!A:C,3,0)</f>
        <v>#N/A</v>
      </c>
      <c r="H295" s="2" t="e">
        <f>VLOOKUP(G295,ProductList!A:B,2,0)</f>
        <v>#N/A</v>
      </c>
    </row>
    <row r="296" spans="1:8" hidden="1">
      <c r="A296">
        <v>295</v>
      </c>
      <c r="B296">
        <v>295</v>
      </c>
      <c r="C296" s="2" t="e">
        <f>VLOOKUP(B296,Purchase!A:I,9,0)</f>
        <v>#N/A</v>
      </c>
      <c r="D296" s="5" t="e">
        <f>VLOOKUP(B296,Purchase!A:B,2,0)</f>
        <v>#N/A</v>
      </c>
      <c r="E296" t="s">
        <v>7</v>
      </c>
      <c r="F296">
        <v>2.5</v>
      </c>
      <c r="G296" s="2" t="e">
        <f>VLOOKUP(B296,Purchase!A:C,3,0)</f>
        <v>#N/A</v>
      </c>
      <c r="H296" s="2" t="e">
        <f>VLOOKUP(G296,ProductList!A:B,2,0)</f>
        <v>#N/A</v>
      </c>
    </row>
    <row r="297" spans="1:8" hidden="1">
      <c r="A297">
        <v>296</v>
      </c>
      <c r="B297">
        <v>296</v>
      </c>
      <c r="C297" s="2" t="e">
        <f>VLOOKUP(B297,Purchase!A:I,9,0)</f>
        <v>#N/A</v>
      </c>
      <c r="D297" s="5" t="e">
        <f>VLOOKUP(B297,Purchase!A:B,2,0)</f>
        <v>#N/A</v>
      </c>
      <c r="E297" t="s">
        <v>7</v>
      </c>
      <c r="F297">
        <v>4.5</v>
      </c>
      <c r="G297" s="2" t="e">
        <f>VLOOKUP(B297,Purchase!A:C,3,0)</f>
        <v>#N/A</v>
      </c>
      <c r="H297" s="2" t="e">
        <f>VLOOKUP(G297,ProductList!A:B,2,0)</f>
        <v>#N/A</v>
      </c>
    </row>
    <row r="298" spans="1:8" hidden="1">
      <c r="A298">
        <v>297</v>
      </c>
      <c r="B298">
        <v>297</v>
      </c>
      <c r="C298" s="2" t="e">
        <f>VLOOKUP(B298,Purchase!A:I,9,0)</f>
        <v>#N/A</v>
      </c>
      <c r="D298" s="5" t="e">
        <f>VLOOKUP(B298,Purchase!A:B,2,0)</f>
        <v>#N/A</v>
      </c>
      <c r="E298" t="s">
        <v>7</v>
      </c>
      <c r="F298">
        <v>4</v>
      </c>
      <c r="G298" s="2" t="e">
        <f>VLOOKUP(B298,Purchase!A:C,3,0)</f>
        <v>#N/A</v>
      </c>
      <c r="H298" s="2" t="e">
        <f>VLOOKUP(G298,ProductList!A:B,2,0)</f>
        <v>#N/A</v>
      </c>
    </row>
    <row r="299" spans="1:8" hidden="1">
      <c r="A299">
        <v>298</v>
      </c>
      <c r="B299">
        <v>298</v>
      </c>
      <c r="C299" s="2" t="e">
        <f>VLOOKUP(B299,Purchase!A:I,9,0)</f>
        <v>#N/A</v>
      </c>
      <c r="D299" s="5" t="e">
        <f>VLOOKUP(B299,Purchase!A:B,2,0)</f>
        <v>#N/A</v>
      </c>
      <c r="E299" t="s">
        <v>8</v>
      </c>
      <c r="F299">
        <v>0</v>
      </c>
      <c r="G299" s="2" t="e">
        <f>VLOOKUP(B299,Purchase!A:C,3,0)</f>
        <v>#N/A</v>
      </c>
      <c r="H299" s="2" t="e">
        <f>VLOOKUP(G299,ProductList!A:B,2,0)</f>
        <v>#N/A</v>
      </c>
    </row>
    <row r="300" spans="1:8" hidden="1">
      <c r="A300">
        <v>299</v>
      </c>
      <c r="B300">
        <v>299</v>
      </c>
      <c r="C300" s="2" t="e">
        <f>VLOOKUP(B300,Purchase!A:I,9,0)</f>
        <v>#N/A</v>
      </c>
      <c r="D300" s="5" t="e">
        <f>VLOOKUP(B300,Purchase!A:B,2,0)</f>
        <v>#N/A</v>
      </c>
      <c r="E300" t="s">
        <v>5</v>
      </c>
      <c r="F300">
        <v>2</v>
      </c>
      <c r="G300" s="2" t="e">
        <f>VLOOKUP(B300,Purchase!A:C,3,0)</f>
        <v>#N/A</v>
      </c>
      <c r="H300" s="2" t="e">
        <f>VLOOKUP(G300,ProductList!A:B,2,0)</f>
        <v>#N/A</v>
      </c>
    </row>
    <row r="301" spans="1:8" hidden="1">
      <c r="A301">
        <v>300</v>
      </c>
      <c r="B301">
        <v>300</v>
      </c>
      <c r="C301" s="2" t="e">
        <f>VLOOKUP(B301,Purchase!A:I,9,0)</f>
        <v>#N/A</v>
      </c>
      <c r="D301" s="5" t="e">
        <f>VLOOKUP(B301,Purchase!A:B,2,0)</f>
        <v>#N/A</v>
      </c>
      <c r="E301" t="s">
        <v>8</v>
      </c>
      <c r="F301">
        <v>0</v>
      </c>
      <c r="G301" s="2" t="e">
        <f>VLOOKUP(B301,Purchase!A:C,3,0)</f>
        <v>#N/A</v>
      </c>
      <c r="H301" s="2" t="e">
        <f>VLOOKUP(G301,ProductList!A:B,2,0)</f>
        <v>#N/A</v>
      </c>
    </row>
  </sheetData>
  <autoFilter ref="A1:I301">
    <filterColumn colId="6">
      <filters>
        <filter val="1"/>
      </filters>
    </filterColumn>
  </autoFilter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D20" sqref="D20"/>
    </sheetView>
  </sheetViews>
  <sheetFormatPr defaultRowHeight="14.5"/>
  <cols>
    <col min="4" max="4" width="19.1796875" customWidth="1"/>
  </cols>
  <sheetData>
    <row r="1" spans="1:8">
      <c r="A1" t="s">
        <v>0</v>
      </c>
      <c r="B1" t="s">
        <v>1</v>
      </c>
      <c r="C1" t="s">
        <v>374</v>
      </c>
      <c r="D1" s="1" t="s">
        <v>375</v>
      </c>
      <c r="E1" t="s">
        <v>2</v>
      </c>
      <c r="F1" t="s">
        <v>3</v>
      </c>
      <c r="G1" s="2" t="s">
        <v>369</v>
      </c>
      <c r="H1" s="2" t="s">
        <v>357</v>
      </c>
    </row>
    <row r="2" spans="1:8">
      <c r="A2">
        <v>36</v>
      </c>
      <c r="B2">
        <v>36</v>
      </c>
      <c r="C2" s="2" t="s">
        <v>79</v>
      </c>
      <c r="D2" s="5">
        <v>45352</v>
      </c>
      <c r="E2" t="s">
        <v>6</v>
      </c>
      <c r="F2">
        <v>2.5</v>
      </c>
      <c r="G2" s="2">
        <v>1</v>
      </c>
      <c r="H2" s="2" t="s">
        <v>151</v>
      </c>
    </row>
    <row r="3" spans="1:8">
      <c r="A3">
        <v>93</v>
      </c>
      <c r="B3">
        <v>93</v>
      </c>
      <c r="C3" s="2" t="s">
        <v>94</v>
      </c>
      <c r="D3" s="5">
        <v>45459</v>
      </c>
      <c r="E3" t="s">
        <v>6</v>
      </c>
      <c r="F3">
        <v>3.5</v>
      </c>
      <c r="G3" s="2">
        <v>1</v>
      </c>
      <c r="H3" s="2" t="s">
        <v>151</v>
      </c>
    </row>
    <row r="4" spans="1:8">
      <c r="A4">
        <v>82</v>
      </c>
      <c r="B4">
        <v>82</v>
      </c>
      <c r="C4" s="2" t="s">
        <v>124</v>
      </c>
      <c r="D4" s="5">
        <v>45464</v>
      </c>
      <c r="E4" t="s">
        <v>7</v>
      </c>
      <c r="F4">
        <v>3</v>
      </c>
      <c r="G4" s="2">
        <v>1</v>
      </c>
      <c r="H4" s="2" t="s">
        <v>151</v>
      </c>
    </row>
    <row r="5" spans="1:8">
      <c r="A5">
        <v>60</v>
      </c>
      <c r="B5">
        <v>60</v>
      </c>
      <c r="C5" s="2" t="s">
        <v>64</v>
      </c>
      <c r="D5" s="5">
        <v>45504</v>
      </c>
      <c r="E5" t="s">
        <v>5</v>
      </c>
      <c r="F5">
        <v>2</v>
      </c>
      <c r="G5" s="2">
        <v>1</v>
      </c>
      <c r="H5" s="2" t="s">
        <v>151</v>
      </c>
    </row>
    <row r="6" spans="1:8">
      <c r="A6">
        <v>73</v>
      </c>
      <c r="B6">
        <v>73</v>
      </c>
      <c r="C6" s="2" t="s">
        <v>61</v>
      </c>
      <c r="D6" s="5">
        <v>45557</v>
      </c>
      <c r="E6" t="s">
        <v>6</v>
      </c>
      <c r="F6">
        <v>1</v>
      </c>
      <c r="G6" s="2">
        <v>1</v>
      </c>
      <c r="H6" s="2" t="s">
        <v>151</v>
      </c>
    </row>
    <row r="7" spans="1:8">
      <c r="A7">
        <v>57</v>
      </c>
      <c r="B7">
        <v>57</v>
      </c>
      <c r="C7" s="2" t="s">
        <v>73</v>
      </c>
      <c r="D7" s="5">
        <v>45594</v>
      </c>
      <c r="E7" t="s">
        <v>5</v>
      </c>
      <c r="F7">
        <v>1</v>
      </c>
      <c r="G7" s="2">
        <v>1</v>
      </c>
      <c r="H7" s="2" t="s">
        <v>151</v>
      </c>
    </row>
    <row r="8" spans="1:8">
      <c r="A8" s="2">
        <v>25</v>
      </c>
      <c r="B8" s="2">
        <v>25</v>
      </c>
      <c r="C8" s="2" t="s">
        <v>70</v>
      </c>
      <c r="D8" s="5">
        <v>45608</v>
      </c>
      <c r="E8" s="2" t="s">
        <v>8</v>
      </c>
      <c r="F8" s="3">
        <v>1</v>
      </c>
      <c r="G8" s="2">
        <v>1</v>
      </c>
      <c r="H8" s="2" t="s">
        <v>151</v>
      </c>
    </row>
    <row r="9" spans="1:8">
      <c r="A9">
        <v>80</v>
      </c>
      <c r="B9">
        <v>80</v>
      </c>
      <c r="C9" s="2" t="s">
        <v>112</v>
      </c>
      <c r="D9" s="5">
        <v>45645</v>
      </c>
      <c r="E9" t="s">
        <v>8</v>
      </c>
      <c r="F9">
        <v>1</v>
      </c>
      <c r="G9" s="2">
        <v>1</v>
      </c>
      <c r="H9" s="2" t="s">
        <v>151</v>
      </c>
    </row>
    <row r="10" spans="1:8">
      <c r="A10">
        <v>48</v>
      </c>
      <c r="B10">
        <v>48</v>
      </c>
      <c r="C10" s="2" t="s">
        <v>139</v>
      </c>
      <c r="D10" s="5">
        <v>45654</v>
      </c>
      <c r="E10" t="s">
        <v>8</v>
      </c>
      <c r="F10">
        <v>3</v>
      </c>
      <c r="G10" s="2">
        <v>1</v>
      </c>
      <c r="H10" s="2" t="s">
        <v>151</v>
      </c>
    </row>
  </sheetData>
  <sortState ref="A2:H10">
    <sortCondition ref="D1:D10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E2" sqref="E2"/>
    </sheetView>
  </sheetViews>
  <sheetFormatPr defaultRowHeight="14.5"/>
  <cols>
    <col min="2" max="3" width="11" customWidth="1"/>
    <col min="6" max="6" width="9.1796875" style="2"/>
    <col min="7" max="8" width="11" customWidth="1"/>
  </cols>
  <sheetData>
    <row r="1" spans="1:8">
      <c r="A1" t="s">
        <v>9</v>
      </c>
      <c r="B1" t="s">
        <v>10</v>
      </c>
      <c r="C1" t="s">
        <v>11</v>
      </c>
      <c r="D1" t="s">
        <v>12</v>
      </c>
      <c r="E1" t="s">
        <v>13</v>
      </c>
      <c r="F1" s="2" t="s">
        <v>12</v>
      </c>
      <c r="G1" s="2" t="s">
        <v>10</v>
      </c>
      <c r="H1" s="2" t="s">
        <v>11</v>
      </c>
    </row>
    <row r="2" spans="1:8">
      <c r="A2">
        <v>1</v>
      </c>
      <c r="B2" s="1">
        <v>45747</v>
      </c>
      <c r="C2" s="1">
        <v>45749</v>
      </c>
      <c r="D2">
        <v>10</v>
      </c>
      <c r="E2">
        <v>2</v>
      </c>
      <c r="F2" s="2">
        <v>10</v>
      </c>
      <c r="G2" s="5">
        <v>45747</v>
      </c>
      <c r="H2" s="5">
        <v>45749</v>
      </c>
    </row>
    <row r="3" spans="1:8">
      <c r="A3">
        <v>2</v>
      </c>
      <c r="B3" s="1">
        <v>45748</v>
      </c>
      <c r="C3" s="1">
        <v>45750</v>
      </c>
      <c r="D3">
        <v>25</v>
      </c>
      <c r="E3">
        <v>7</v>
      </c>
      <c r="F3" s="2">
        <v>25</v>
      </c>
      <c r="G3" s="5">
        <v>45748</v>
      </c>
      <c r="H3" s="5">
        <v>45750</v>
      </c>
    </row>
    <row r="4" spans="1:8">
      <c r="A4">
        <v>3</v>
      </c>
      <c r="B4" s="1">
        <v>45749</v>
      </c>
      <c r="C4" s="1">
        <v>45751</v>
      </c>
      <c r="D4">
        <v>5</v>
      </c>
      <c r="E4">
        <v>8</v>
      </c>
      <c r="F4" s="2">
        <v>5</v>
      </c>
      <c r="G4" s="5">
        <v>45749</v>
      </c>
      <c r="H4" s="5">
        <v>45751</v>
      </c>
    </row>
    <row r="5" spans="1:8">
      <c r="A5">
        <v>4</v>
      </c>
      <c r="B5" s="1">
        <v>45750</v>
      </c>
      <c r="C5" s="1">
        <v>45752</v>
      </c>
      <c r="D5">
        <v>15</v>
      </c>
      <c r="E5">
        <v>10</v>
      </c>
      <c r="F5" s="2">
        <v>15</v>
      </c>
      <c r="G5" s="5">
        <v>45750</v>
      </c>
      <c r="H5" s="5">
        <v>45752</v>
      </c>
    </row>
    <row r="6" spans="1:8">
      <c r="A6">
        <v>5</v>
      </c>
      <c r="B6" s="1">
        <v>45751</v>
      </c>
      <c r="C6" s="1">
        <v>45753</v>
      </c>
      <c r="D6">
        <v>20</v>
      </c>
      <c r="E6">
        <v>15</v>
      </c>
      <c r="F6" s="2">
        <v>20</v>
      </c>
      <c r="G6" s="5">
        <v>45751</v>
      </c>
      <c r="H6" s="5">
        <v>45753</v>
      </c>
    </row>
    <row r="7" spans="1:8">
      <c r="A7">
        <v>6</v>
      </c>
      <c r="B7" s="1">
        <v>45752</v>
      </c>
      <c r="C7" s="1">
        <v>45754</v>
      </c>
      <c r="D7">
        <v>30</v>
      </c>
      <c r="E7">
        <v>18</v>
      </c>
      <c r="F7" s="2">
        <v>30</v>
      </c>
      <c r="G7" s="5">
        <v>45752</v>
      </c>
      <c r="H7" s="5">
        <v>45754</v>
      </c>
    </row>
    <row r="8" spans="1:8">
      <c r="A8">
        <v>7</v>
      </c>
      <c r="B8" s="1">
        <v>45753</v>
      </c>
      <c r="C8" s="1">
        <v>45754</v>
      </c>
      <c r="D8">
        <v>35</v>
      </c>
      <c r="E8">
        <v>21</v>
      </c>
      <c r="F8" s="2">
        <v>35</v>
      </c>
      <c r="G8" s="5">
        <v>45753</v>
      </c>
      <c r="H8" s="5">
        <v>45754</v>
      </c>
    </row>
    <row r="9" spans="1:8">
      <c r="A9">
        <v>8</v>
      </c>
      <c r="B9" s="1">
        <v>45747</v>
      </c>
      <c r="C9" s="1">
        <v>45751</v>
      </c>
      <c r="D9">
        <v>10</v>
      </c>
      <c r="E9">
        <v>25</v>
      </c>
      <c r="F9" s="2">
        <v>10</v>
      </c>
      <c r="G9" s="5">
        <v>45747</v>
      </c>
      <c r="H9" s="5">
        <v>45751</v>
      </c>
    </row>
    <row r="10" spans="1:8">
      <c r="A10">
        <v>9</v>
      </c>
      <c r="B10" s="1">
        <v>45748</v>
      </c>
      <c r="C10" s="1">
        <v>45751</v>
      </c>
      <c r="D10">
        <v>40</v>
      </c>
      <c r="E10">
        <v>33</v>
      </c>
      <c r="F10" s="2">
        <v>40</v>
      </c>
      <c r="G10" s="5">
        <v>45748</v>
      </c>
      <c r="H10" s="5">
        <v>45751</v>
      </c>
    </row>
    <row r="11" spans="1:8">
      <c r="A11">
        <v>10</v>
      </c>
      <c r="B11" s="1">
        <v>45749</v>
      </c>
      <c r="C11" s="1">
        <v>45752</v>
      </c>
      <c r="D11">
        <v>45</v>
      </c>
      <c r="E11">
        <v>37</v>
      </c>
      <c r="F11" s="2">
        <v>45</v>
      </c>
      <c r="G11" s="5">
        <v>45749</v>
      </c>
      <c r="H11" s="5">
        <v>45752</v>
      </c>
    </row>
    <row r="12" spans="1:8">
      <c r="A12">
        <v>11</v>
      </c>
      <c r="B12" s="1">
        <v>45750</v>
      </c>
      <c r="C12" s="1">
        <v>45753</v>
      </c>
      <c r="D12">
        <v>20</v>
      </c>
      <c r="E12">
        <v>42</v>
      </c>
      <c r="F12" s="2">
        <v>20</v>
      </c>
      <c r="G12" s="5">
        <v>45750</v>
      </c>
      <c r="H12" s="5">
        <v>45753</v>
      </c>
    </row>
    <row r="13" spans="1:8">
      <c r="A13">
        <v>12</v>
      </c>
      <c r="B13" s="1">
        <v>45751</v>
      </c>
      <c r="C13" s="1">
        <v>45754</v>
      </c>
      <c r="D13">
        <v>55</v>
      </c>
      <c r="E13">
        <v>51</v>
      </c>
      <c r="F13" s="2">
        <v>55</v>
      </c>
      <c r="G13" s="5">
        <v>45751</v>
      </c>
      <c r="H13" s="5">
        <v>45754</v>
      </c>
    </row>
    <row r="14" spans="1:8">
      <c r="A14">
        <v>13</v>
      </c>
      <c r="B14" s="1">
        <v>45752</v>
      </c>
      <c r="C14" s="1">
        <v>45753</v>
      </c>
      <c r="D14">
        <v>10</v>
      </c>
      <c r="E14">
        <v>66</v>
      </c>
      <c r="F14" s="2">
        <v>10</v>
      </c>
      <c r="G14" s="5">
        <v>45752</v>
      </c>
      <c r="H14" s="5">
        <v>45753</v>
      </c>
    </row>
    <row r="15" spans="1:8">
      <c r="A15">
        <v>14</v>
      </c>
      <c r="B15" s="1">
        <v>45753</v>
      </c>
      <c r="C15" s="1">
        <v>45754</v>
      </c>
      <c r="D15">
        <v>5</v>
      </c>
      <c r="E15">
        <v>69</v>
      </c>
      <c r="F15" s="2">
        <v>5</v>
      </c>
      <c r="G15" s="5">
        <v>45753</v>
      </c>
      <c r="H15" s="5">
        <v>45754</v>
      </c>
    </row>
    <row r="16" spans="1:8">
      <c r="A16">
        <v>15</v>
      </c>
      <c r="B16" s="1">
        <v>45747</v>
      </c>
      <c r="C16" s="1">
        <v>45749</v>
      </c>
      <c r="D16">
        <v>20</v>
      </c>
      <c r="E16">
        <v>72</v>
      </c>
      <c r="F16" s="2">
        <v>20</v>
      </c>
      <c r="G16" s="5">
        <v>45747</v>
      </c>
      <c r="H16" s="5">
        <v>45749</v>
      </c>
    </row>
    <row r="17" spans="1:9">
      <c r="A17">
        <v>16</v>
      </c>
      <c r="B17" s="1">
        <v>45748</v>
      </c>
      <c r="C17" s="1">
        <v>45752</v>
      </c>
      <c r="D17">
        <v>10</v>
      </c>
      <c r="E17">
        <v>83</v>
      </c>
      <c r="F17" s="2">
        <v>10</v>
      </c>
      <c r="G17" s="5">
        <v>45748</v>
      </c>
      <c r="H17" s="5">
        <v>45752</v>
      </c>
    </row>
    <row r="18" spans="1:9">
      <c r="A18">
        <v>17</v>
      </c>
      <c r="B18" s="1">
        <v>45749</v>
      </c>
      <c r="C18" s="1">
        <v>45753</v>
      </c>
      <c r="D18">
        <v>35</v>
      </c>
      <c r="E18">
        <v>94</v>
      </c>
      <c r="F18" s="2">
        <v>35</v>
      </c>
      <c r="G18" s="5">
        <v>45749</v>
      </c>
      <c r="H18" s="5">
        <v>45753</v>
      </c>
    </row>
    <row r="19" spans="1:9">
      <c r="A19">
        <v>18</v>
      </c>
      <c r="B19" s="1">
        <v>45750</v>
      </c>
      <c r="C19" s="1">
        <v>45754</v>
      </c>
      <c r="D19">
        <v>40</v>
      </c>
      <c r="E19">
        <v>103</v>
      </c>
      <c r="F19" s="2">
        <v>40</v>
      </c>
      <c r="G19" s="5">
        <v>45750</v>
      </c>
      <c r="H19" s="5">
        <v>45754</v>
      </c>
    </row>
    <row r="20" spans="1:9">
      <c r="A20">
        <v>19</v>
      </c>
      <c r="B20" s="1">
        <v>45751</v>
      </c>
      <c r="C20" s="1">
        <v>45753</v>
      </c>
      <c r="D20">
        <v>25</v>
      </c>
      <c r="E20">
        <v>110</v>
      </c>
      <c r="F20" s="2">
        <v>25</v>
      </c>
      <c r="G20" s="5">
        <v>45751</v>
      </c>
      <c r="H20" s="5">
        <v>45753</v>
      </c>
      <c r="I20" t="s">
        <v>14</v>
      </c>
    </row>
    <row r="21" spans="1:9">
      <c r="A21">
        <v>20</v>
      </c>
      <c r="B21" s="1">
        <v>45752</v>
      </c>
      <c r="C21" s="1">
        <v>45752</v>
      </c>
      <c r="D21">
        <v>10</v>
      </c>
      <c r="E21">
        <v>158</v>
      </c>
      <c r="F21" s="2">
        <v>10</v>
      </c>
      <c r="G21" s="5">
        <v>45752</v>
      </c>
      <c r="H21" s="5">
        <v>45752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51"/>
  <sheetViews>
    <sheetView workbookViewId="0">
      <selection activeCell="E2" sqref="E2"/>
    </sheetView>
  </sheetViews>
  <sheetFormatPr defaultRowHeight="14.5"/>
  <cols>
    <col min="3" max="4" width="9.1796875" style="2"/>
  </cols>
  <sheetData>
    <row r="1" spans="1:9">
      <c r="A1" t="s">
        <v>15</v>
      </c>
      <c r="B1" t="s">
        <v>13</v>
      </c>
      <c r="C1" s="2" t="s">
        <v>357</v>
      </c>
      <c r="D1" s="2" t="s">
        <v>366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 hidden="1">
      <c r="A2">
        <v>1</v>
      </c>
      <c r="B2">
        <v>175</v>
      </c>
      <c r="C2" s="2" t="str">
        <f>VLOOKUP(B2,ProductList!A:B,2,0)</f>
        <v>코듀라 RAW 데님 트러커 자켓 인디고 로우</v>
      </c>
      <c r="D2" s="2">
        <f>VLOOKUP(B2,ProductList!A:G,7,0)*SUM(F2:I2)</f>
        <v>75000</v>
      </c>
      <c r="E2">
        <v>30</v>
      </c>
      <c r="F2">
        <v>1</v>
      </c>
      <c r="G2">
        <v>2</v>
      </c>
      <c r="H2">
        <v>0</v>
      </c>
      <c r="I2">
        <v>0</v>
      </c>
    </row>
    <row r="3" spans="1:9">
      <c r="A3">
        <v>2</v>
      </c>
      <c r="B3">
        <v>55</v>
      </c>
      <c r="C3" s="2" t="str">
        <f>VLOOKUP(B3,ProductList!A:B,2,0)</f>
        <v>스퀘어 토 메리제인 플랫슈즈</v>
      </c>
      <c r="D3" s="2">
        <f>VLOOKUP(B3,ProductList!A:G,7,0)*SUM(F3:I3)</f>
        <v>225000</v>
      </c>
      <c r="E3">
        <v>1</v>
      </c>
      <c r="F3">
        <v>0</v>
      </c>
      <c r="G3">
        <v>0</v>
      </c>
      <c r="H3">
        <v>1</v>
      </c>
      <c r="I3">
        <v>2</v>
      </c>
    </row>
    <row r="4" spans="1:9" hidden="1">
      <c r="A4">
        <v>3</v>
      </c>
      <c r="B4">
        <v>93</v>
      </c>
      <c r="C4" s="2" t="str">
        <f>VLOOKUP(B4,ProductList!A:B,2,0)</f>
        <v>워렌 슬림 타이 3COLOR</v>
      </c>
      <c r="D4" s="2">
        <f>VLOOKUP(B4,ProductList!A:G,7,0)*SUM(F4:I4)</f>
        <v>285000</v>
      </c>
      <c r="E4">
        <v>4</v>
      </c>
      <c r="F4">
        <v>0</v>
      </c>
      <c r="G4">
        <v>3</v>
      </c>
      <c r="H4">
        <v>0</v>
      </c>
      <c r="I4">
        <v>0</v>
      </c>
    </row>
    <row r="5" spans="1:9" hidden="1">
      <c r="A5">
        <v>4</v>
      </c>
      <c r="B5">
        <v>148</v>
      </c>
      <c r="C5" s="2" t="str">
        <f>VLOOKUP(B5,ProductList!A:B,2,0)</f>
        <v>코즈웨이 소가죽 베이직 페니 로퍼 밴타블랙</v>
      </c>
      <c r="D5" s="2">
        <f>VLOOKUP(B5,ProductList!A:G,7,0)*SUM(F5:I5)</f>
        <v>300000</v>
      </c>
      <c r="E5">
        <v>28</v>
      </c>
      <c r="F5">
        <v>3</v>
      </c>
      <c r="G5">
        <v>2</v>
      </c>
      <c r="H5">
        <v>0</v>
      </c>
      <c r="I5">
        <v>1</v>
      </c>
    </row>
    <row r="6" spans="1:9">
      <c r="A6">
        <v>5</v>
      </c>
      <c r="B6">
        <v>198</v>
      </c>
      <c r="C6" s="2" t="str">
        <f>VLOOKUP(B6,ProductList!A:B,2,0)</f>
        <v>Reversible Padded Muffle</v>
      </c>
      <c r="D6" s="2">
        <f>VLOOKUP(B6,ProductList!A:G,7,0)*SUM(F6:I6)</f>
        <v>425000</v>
      </c>
      <c r="E6">
        <v>1</v>
      </c>
      <c r="F6">
        <v>1</v>
      </c>
      <c r="G6">
        <v>0</v>
      </c>
      <c r="H6">
        <v>1</v>
      </c>
      <c r="I6">
        <v>3</v>
      </c>
    </row>
    <row r="7" spans="1:9" hidden="1">
      <c r="A7">
        <v>6</v>
      </c>
      <c r="B7">
        <v>145</v>
      </c>
      <c r="C7" s="2" t="str">
        <f>VLOOKUP(B7,ProductList!A:B,2,0)</f>
        <v>WTRD2600 마일 볼륨 스퀘어토 클로그 블랙</v>
      </c>
      <c r="D7" s="2">
        <f>VLOOKUP(B7,ProductList!A:G,7,0)*SUM(F7:I7)</f>
        <v>440000</v>
      </c>
      <c r="E7">
        <v>10</v>
      </c>
      <c r="F7">
        <v>2</v>
      </c>
      <c r="G7">
        <v>1</v>
      </c>
      <c r="H7">
        <v>1</v>
      </c>
      <c r="I7">
        <v>4</v>
      </c>
    </row>
    <row r="8" spans="1:9" hidden="1">
      <c r="A8">
        <v>7</v>
      </c>
      <c r="B8">
        <v>46</v>
      </c>
      <c r="C8" s="2" t="str">
        <f>VLOOKUP(B8,ProductList!A:B,2,0)</f>
        <v>10008 BK HORSE LOAFERS</v>
      </c>
      <c r="D8" s="2">
        <f>VLOOKUP(B8,ProductList!A:G,7,0)*SUM(F8:I8)</f>
        <v>50000</v>
      </c>
      <c r="E8">
        <v>9</v>
      </c>
      <c r="F8">
        <v>1</v>
      </c>
      <c r="G8">
        <v>0</v>
      </c>
      <c r="H8">
        <v>1</v>
      </c>
      <c r="I8">
        <v>0</v>
      </c>
    </row>
    <row r="9" spans="1:9">
      <c r="A9">
        <v>8</v>
      </c>
      <c r="B9">
        <v>15</v>
      </c>
      <c r="C9" s="2" t="str">
        <f>VLOOKUP(B9,ProductList!A:B,2,0)</f>
        <v>Moon Night Raglan L/S Tee [4Color]</v>
      </c>
      <c r="D9" s="2">
        <f>VLOOKUP(B9,ProductList!A:G,7,0)*SUM(F9:I9)</f>
        <v>180000</v>
      </c>
      <c r="E9">
        <v>1</v>
      </c>
      <c r="F9">
        <v>3</v>
      </c>
      <c r="G9">
        <v>0</v>
      </c>
      <c r="H9">
        <v>0</v>
      </c>
      <c r="I9">
        <v>2</v>
      </c>
    </row>
    <row r="10" spans="1:9">
      <c r="A10">
        <v>9</v>
      </c>
      <c r="B10">
        <v>130</v>
      </c>
      <c r="C10" s="2" t="str">
        <f>VLOOKUP(B10,ProductList!A:B,2,0)</f>
        <v>올데이 라인업 부츠컷 레깅스</v>
      </c>
      <c r="D10" s="2">
        <f>VLOOKUP(B10,ProductList!A:G,7,0)*SUM(F10:I10)</f>
        <v>325000</v>
      </c>
      <c r="E10">
        <v>1</v>
      </c>
      <c r="F10">
        <v>2</v>
      </c>
      <c r="G10">
        <v>0</v>
      </c>
      <c r="H10">
        <v>0</v>
      </c>
      <c r="I10">
        <v>3</v>
      </c>
    </row>
    <row r="11" spans="1:9" hidden="1">
      <c r="A11">
        <v>10</v>
      </c>
      <c r="B11">
        <v>128</v>
      </c>
      <c r="C11" s="2" t="str">
        <f>VLOOKUP(B11,ProductList!A:B,2,0)</f>
        <v>린넨 라이크 세미 와이드 밴딩 팬츠</v>
      </c>
      <c r="D11" s="2">
        <f>VLOOKUP(B11,ProductList!A:G,7,0)*SUM(F11:I11)</f>
        <v>240000</v>
      </c>
      <c r="E11">
        <v>2</v>
      </c>
      <c r="F11">
        <v>0</v>
      </c>
      <c r="G11">
        <v>2</v>
      </c>
      <c r="H11">
        <v>0</v>
      </c>
      <c r="I11">
        <v>1</v>
      </c>
    </row>
    <row r="12" spans="1:9" hidden="1">
      <c r="A12">
        <v>11</v>
      </c>
      <c r="B12">
        <v>165</v>
      </c>
      <c r="C12" s="2" t="str">
        <f>VLOOKUP(B12,ProductList!A:B,2,0)</f>
        <v>스탠다드 블루종 스웨이드 자켓 아이보리</v>
      </c>
      <c r="D12" s="2">
        <f>VLOOKUP(B12,ProductList!A:G,7,0)*SUM(F12:I12)</f>
        <v>275000</v>
      </c>
      <c r="E12">
        <v>2</v>
      </c>
      <c r="F12">
        <v>3</v>
      </c>
      <c r="G12">
        <v>0</v>
      </c>
      <c r="H12">
        <v>2</v>
      </c>
      <c r="I12">
        <v>0</v>
      </c>
    </row>
    <row r="13" spans="1:9" hidden="1">
      <c r="A13">
        <v>12</v>
      </c>
      <c r="B13">
        <v>151</v>
      </c>
      <c r="C13" s="2" t="str">
        <f>VLOOKUP(B13,ProductList!A:B,2,0)</f>
        <v>커디스 메리제인 로퍼 크림 516323204ZQ</v>
      </c>
      <c r="D13" s="2">
        <f>VLOOKUP(B13,ProductList!A:G,7,0)*SUM(F13:I13)</f>
        <v>450000</v>
      </c>
      <c r="E13">
        <v>3</v>
      </c>
      <c r="F13">
        <v>0</v>
      </c>
      <c r="G13">
        <v>3</v>
      </c>
      <c r="H13">
        <v>2</v>
      </c>
      <c r="I13">
        <v>1</v>
      </c>
    </row>
    <row r="14" spans="1:9">
      <c r="A14">
        <v>13</v>
      </c>
      <c r="B14">
        <v>134</v>
      </c>
      <c r="C14" s="2" t="str">
        <f>VLOOKUP(B14,ProductList!A:B,2,0)</f>
        <v>여성요가복 볼드 튤립 쇼츠</v>
      </c>
      <c r="D14" s="2">
        <f>VLOOKUP(B14,ProductList!A:G,7,0)*SUM(F14:I14)</f>
        <v>255000</v>
      </c>
      <c r="E14">
        <v>1</v>
      </c>
      <c r="F14">
        <v>0</v>
      </c>
      <c r="G14">
        <v>1</v>
      </c>
      <c r="H14">
        <v>2</v>
      </c>
      <c r="I14">
        <v>0</v>
      </c>
    </row>
    <row r="15" spans="1:9" hidden="1">
      <c r="A15">
        <v>14</v>
      </c>
      <c r="B15">
        <v>81</v>
      </c>
      <c r="C15" s="2" t="str">
        <f>VLOOKUP(B15,ProductList!A:B,2,0)</f>
        <v>PLG CU+(구리) 항균 마스크</v>
      </c>
      <c r="D15" s="2">
        <f>VLOOKUP(B15,ProductList!A:G,7,0)*SUM(F15:I15)</f>
        <v>210000</v>
      </c>
      <c r="E15">
        <v>15</v>
      </c>
      <c r="F15">
        <v>1</v>
      </c>
      <c r="G15">
        <v>0</v>
      </c>
      <c r="H15">
        <v>3</v>
      </c>
      <c r="I15">
        <v>2</v>
      </c>
    </row>
    <row r="16" spans="1:9" hidden="1">
      <c r="A16">
        <v>15</v>
      </c>
      <c r="B16">
        <v>27</v>
      </c>
      <c r="C16" s="2" t="str">
        <f>VLOOKUP(B16,ProductList!A:B,2,0)</f>
        <v>Steady Balloon Snap Pants Black</v>
      </c>
      <c r="D16" s="2">
        <f>VLOOKUP(B16,ProductList!A:G,7,0)*SUM(F16:I16)</f>
        <v>480000</v>
      </c>
      <c r="E16">
        <v>19</v>
      </c>
      <c r="F16">
        <v>2</v>
      </c>
      <c r="G16">
        <v>3</v>
      </c>
      <c r="H16">
        <v>1</v>
      </c>
      <c r="I16">
        <v>0</v>
      </c>
    </row>
    <row r="17" spans="1:9" hidden="1">
      <c r="A17">
        <v>16</v>
      </c>
      <c r="B17">
        <v>186</v>
      </c>
      <c r="C17" s="2" t="str">
        <f>VLOOKUP(B17,ProductList!A:B,2,0)</f>
        <v>카라비너 애스트로넛 레이어드 키링</v>
      </c>
      <c r="D17" s="2">
        <f>VLOOKUP(B17,ProductList!A:G,7,0)*SUM(F17:I17)</f>
        <v>80000</v>
      </c>
      <c r="E17">
        <v>8</v>
      </c>
      <c r="F17">
        <v>1</v>
      </c>
      <c r="G17">
        <v>1</v>
      </c>
      <c r="H17">
        <v>0</v>
      </c>
      <c r="I17">
        <v>2</v>
      </c>
    </row>
    <row r="18" spans="1:9" hidden="1">
      <c r="A18">
        <v>17</v>
      </c>
      <c r="B18">
        <v>65</v>
      </c>
      <c r="C18" s="2" t="str">
        <f>VLOOKUP(B18,ProductList!A:B,2,0)</f>
        <v>카라 블루종 스웨이드 자켓 블랙</v>
      </c>
      <c r="D18" s="2">
        <f>VLOOKUP(B18,ProductList!A:G,7,0)*SUM(F18:I18)</f>
        <v>40000</v>
      </c>
      <c r="E18">
        <v>22</v>
      </c>
      <c r="F18">
        <v>0</v>
      </c>
      <c r="G18">
        <v>0</v>
      </c>
      <c r="H18">
        <v>0</v>
      </c>
      <c r="I18">
        <v>2</v>
      </c>
    </row>
    <row r="19" spans="1:9" hidden="1">
      <c r="A19">
        <v>18</v>
      </c>
      <c r="B19">
        <v>96</v>
      </c>
      <c r="C19" s="2" t="str">
        <f>VLOOKUP(B19,ProductList!A:B,2,0)</f>
        <v>TY 스탠다드 타이_Black</v>
      </c>
      <c r="D19" s="2">
        <f>VLOOKUP(B19,ProductList!A:G,7,0)*SUM(F19:I19)</f>
        <v>350000</v>
      </c>
      <c r="E19">
        <v>5</v>
      </c>
      <c r="F19">
        <v>1</v>
      </c>
      <c r="G19">
        <v>2</v>
      </c>
      <c r="H19">
        <v>3</v>
      </c>
      <c r="I19">
        <v>1</v>
      </c>
    </row>
    <row r="20" spans="1:9" hidden="1">
      <c r="A20">
        <v>19</v>
      </c>
      <c r="B20">
        <v>173</v>
      </c>
      <c r="C20" s="2" t="str">
        <f>VLOOKUP(B20,ProductList!A:B,2,0)</f>
        <v>워싱 스티치 데님자켓 (BLACK)</v>
      </c>
      <c r="D20" s="2">
        <f>VLOOKUP(B20,ProductList!A:G,7,0)*SUM(F20:I20)</f>
        <v>425000</v>
      </c>
      <c r="E20">
        <v>18</v>
      </c>
      <c r="F20">
        <v>2</v>
      </c>
      <c r="G20">
        <v>1</v>
      </c>
      <c r="H20">
        <v>1</v>
      </c>
      <c r="I20">
        <v>1</v>
      </c>
    </row>
    <row r="21" spans="1:9" hidden="1">
      <c r="A21">
        <v>20</v>
      </c>
      <c r="B21">
        <v>133</v>
      </c>
      <c r="C21" s="2" t="str">
        <f>VLOOKUP(B21,ProductList!A:B,2,0)</f>
        <v>지모션 레귤러 테이퍼드 조거 팬츠</v>
      </c>
      <c r="D21" s="2">
        <f>VLOOKUP(B21,ProductList!A:G,7,0)*SUM(F21:I21)</f>
        <v>100000</v>
      </c>
      <c r="E21">
        <v>24</v>
      </c>
      <c r="F21">
        <v>1</v>
      </c>
      <c r="G21">
        <v>0</v>
      </c>
      <c r="H21">
        <v>3</v>
      </c>
      <c r="I21">
        <v>0</v>
      </c>
    </row>
    <row r="22" spans="1:9" hidden="1">
      <c r="A22">
        <v>21</v>
      </c>
      <c r="B22">
        <v>192</v>
      </c>
      <c r="C22" s="2" t="str">
        <f>VLOOKUP(B22,ProductList!A:B,2,0)</f>
        <v>데이 레더 벨트 [BROWN]</v>
      </c>
      <c r="D22" s="2">
        <f>VLOOKUP(B22,ProductList!A:G,7,0)*SUM(F22:I22)</f>
        <v>90000</v>
      </c>
      <c r="E22">
        <v>12</v>
      </c>
      <c r="F22">
        <v>1</v>
      </c>
      <c r="G22">
        <v>2</v>
      </c>
      <c r="H22">
        <v>1</v>
      </c>
      <c r="I22">
        <v>2</v>
      </c>
    </row>
    <row r="23" spans="1:9" hidden="1">
      <c r="A23">
        <v>22</v>
      </c>
      <c r="B23">
        <v>184</v>
      </c>
      <c r="C23" s="2" t="str">
        <f>VLOOKUP(B23,ProductList!A:B,2,0)</f>
        <v>카리스 Karis 카퍼 패션 마스크</v>
      </c>
      <c r="D23" s="2">
        <f>VLOOKUP(B23,ProductList!A:G,7,0)*SUM(F23:I23)</f>
        <v>475000</v>
      </c>
      <c r="E23">
        <v>16</v>
      </c>
      <c r="F23">
        <v>0</v>
      </c>
      <c r="G23">
        <v>0</v>
      </c>
      <c r="H23">
        <v>2</v>
      </c>
      <c r="I23">
        <v>3</v>
      </c>
    </row>
    <row r="24" spans="1:9" hidden="1">
      <c r="A24">
        <v>23</v>
      </c>
      <c r="B24">
        <v>153</v>
      </c>
      <c r="C24" s="2" t="str">
        <f>VLOOKUP(B24,ProductList!A:B,2,0)</f>
        <v>스윗버튼 메리제인 1.0 HPWWFD4901</v>
      </c>
      <c r="D24" s="2">
        <f>VLOOKUP(B24,ProductList!A:G,7,0)*SUM(F24:I24)</f>
        <v>60000</v>
      </c>
      <c r="E24">
        <v>23</v>
      </c>
      <c r="F24">
        <v>1</v>
      </c>
      <c r="G24">
        <v>0</v>
      </c>
      <c r="H24">
        <v>0</v>
      </c>
      <c r="I24">
        <v>2</v>
      </c>
    </row>
    <row r="25" spans="1:9" hidden="1">
      <c r="A25">
        <v>24</v>
      </c>
      <c r="B25">
        <v>94</v>
      </c>
      <c r="C25" s="2" t="str">
        <f>VLOOKUP(B25,ProductList!A:B,2,0)</f>
        <v>슬림 모던 타이</v>
      </c>
      <c r="D25" s="2">
        <f>VLOOKUP(B25,ProductList!A:G,7,0)*SUM(F25:I25)</f>
        <v>308750</v>
      </c>
      <c r="E25">
        <v>4</v>
      </c>
      <c r="F25">
        <v>2</v>
      </c>
      <c r="G25">
        <v>1</v>
      </c>
      <c r="H25">
        <v>0</v>
      </c>
      <c r="I25">
        <v>2</v>
      </c>
    </row>
    <row r="26" spans="1:9" hidden="1">
      <c r="A26">
        <v>25</v>
      </c>
      <c r="B26">
        <v>134</v>
      </c>
      <c r="C26" s="2" t="str">
        <f>VLOOKUP(B26,ProductList!A:B,2,0)</f>
        <v>여성요가복 볼드 튤립 쇼츠</v>
      </c>
      <c r="D26" s="2">
        <f>VLOOKUP(B26,ProductList!A:G,7,0)*SUM(F26:I26)</f>
        <v>510000</v>
      </c>
      <c r="E26">
        <v>12</v>
      </c>
      <c r="F26">
        <v>3</v>
      </c>
      <c r="G26">
        <v>1</v>
      </c>
      <c r="H26">
        <v>2</v>
      </c>
      <c r="I26">
        <v>0</v>
      </c>
    </row>
    <row r="27" spans="1:9" hidden="1">
      <c r="A27">
        <v>26</v>
      </c>
      <c r="B27">
        <v>148</v>
      </c>
      <c r="C27" s="2" t="str">
        <f>VLOOKUP(B27,ProductList!A:B,2,0)</f>
        <v>코즈웨이 소가죽 베이직 페니 로퍼 밴타블랙</v>
      </c>
      <c r="D27" s="2">
        <f>VLOOKUP(B27,ProductList!A:G,7,0)*SUM(F27:I27)</f>
        <v>150000</v>
      </c>
      <c r="E27">
        <v>5</v>
      </c>
      <c r="F27">
        <v>0</v>
      </c>
      <c r="G27">
        <v>0</v>
      </c>
      <c r="H27">
        <v>3</v>
      </c>
      <c r="I27">
        <v>0</v>
      </c>
    </row>
    <row r="28" spans="1:9" hidden="1">
      <c r="A28">
        <v>27</v>
      </c>
      <c r="B28">
        <v>106</v>
      </c>
      <c r="C28" s="2" t="str">
        <f>VLOOKUP(B28,ProductList!A:B,2,0)</f>
        <v>테리 그래픽 스웨트셔츠</v>
      </c>
      <c r="D28" s="2">
        <f>VLOOKUP(B28,ProductList!A:G,7,0)*SUM(F28:I28)</f>
        <v>600000</v>
      </c>
      <c r="E28">
        <v>17</v>
      </c>
      <c r="F28">
        <v>3</v>
      </c>
      <c r="G28">
        <v>0</v>
      </c>
      <c r="H28">
        <v>1</v>
      </c>
      <c r="I28">
        <v>2</v>
      </c>
    </row>
    <row r="29" spans="1:9" hidden="1">
      <c r="A29">
        <v>28</v>
      </c>
      <c r="B29">
        <v>54</v>
      </c>
      <c r="C29" s="2" t="str">
        <f>VLOOKUP(B29,ProductList!A:B,2,0)</f>
        <v>스퀘어 밴딩 바부슈 플랫</v>
      </c>
      <c r="D29" s="2">
        <f>VLOOKUP(B29,ProductList!A:G,7,0)*SUM(F29:I29)</f>
        <v>40000</v>
      </c>
      <c r="E29">
        <v>13</v>
      </c>
      <c r="F29">
        <v>1</v>
      </c>
      <c r="G29">
        <v>0</v>
      </c>
      <c r="H29">
        <v>2</v>
      </c>
      <c r="I29">
        <v>1</v>
      </c>
    </row>
    <row r="30" spans="1:9" hidden="1">
      <c r="A30">
        <v>29</v>
      </c>
      <c r="B30">
        <v>135</v>
      </c>
      <c r="C30" s="2" t="str">
        <f>VLOOKUP(B30,ProductList!A:B,2,0)</f>
        <v>에어 플러스 조거 팬츠</v>
      </c>
      <c r="D30" s="2">
        <f>VLOOKUP(B30,ProductList!A:G,7,0)*SUM(F30:I30)</f>
        <v>60000</v>
      </c>
      <c r="E30">
        <v>20</v>
      </c>
      <c r="F30">
        <v>0</v>
      </c>
      <c r="G30">
        <v>3</v>
      </c>
      <c r="H30">
        <v>1</v>
      </c>
      <c r="I30">
        <v>2</v>
      </c>
    </row>
    <row r="31" spans="1:9" hidden="1">
      <c r="A31">
        <v>30</v>
      </c>
      <c r="B31">
        <v>141</v>
      </c>
      <c r="C31" s="2" t="str">
        <f>VLOOKUP(B31,ProductList!A:B,2,0)</f>
        <v>PINTO</v>
      </c>
      <c r="D31" s="2">
        <f>VLOOKUP(B31,ProductList!A:G,7,0)*SUM(F31:I31)</f>
        <v>135000</v>
      </c>
      <c r="E31">
        <v>10</v>
      </c>
      <c r="F31">
        <v>0</v>
      </c>
      <c r="G31">
        <v>2</v>
      </c>
      <c r="H31">
        <v>1</v>
      </c>
      <c r="I31">
        <v>0</v>
      </c>
    </row>
    <row r="32" spans="1:9" hidden="1">
      <c r="A32">
        <v>31</v>
      </c>
      <c r="B32">
        <v>10</v>
      </c>
      <c r="C32" s="2" t="str">
        <f>VLOOKUP(B32,ProductList!A:B,2,0)</f>
        <v>스피드 피그먼트 후드 딥그레이 KMHD6727</v>
      </c>
      <c r="D32" s="2">
        <f>VLOOKUP(B32,ProductList!A:G,7,0)*SUM(F32:I32)</f>
        <v>382500</v>
      </c>
      <c r="E32">
        <v>9</v>
      </c>
      <c r="F32">
        <v>3</v>
      </c>
      <c r="G32">
        <v>3</v>
      </c>
      <c r="H32">
        <v>0</v>
      </c>
      <c r="I32">
        <v>4</v>
      </c>
    </row>
    <row r="33" spans="1:9" hidden="1">
      <c r="A33">
        <v>32</v>
      </c>
      <c r="B33">
        <v>155</v>
      </c>
      <c r="C33" s="2" t="str">
        <f>VLOOKUP(B33,ProductList!A:B,2,0)</f>
        <v>BELLA MARYJANE FLAT</v>
      </c>
      <c r="D33" s="2">
        <f>VLOOKUP(B33,ProductList!A:G,7,0)*SUM(F33:I33)</f>
        <v>100000</v>
      </c>
      <c r="E33">
        <v>7</v>
      </c>
      <c r="F33">
        <v>0</v>
      </c>
      <c r="G33">
        <v>1</v>
      </c>
      <c r="H33">
        <v>0</v>
      </c>
      <c r="I33">
        <v>1</v>
      </c>
    </row>
    <row r="34" spans="1:9" hidden="1">
      <c r="A34">
        <v>33</v>
      </c>
      <c r="B34">
        <v>83</v>
      </c>
      <c r="C34" s="2" t="str">
        <f>VLOOKUP(B34,ProductList!A:B,2,0)</f>
        <v>KF94 시그니쳐 퍼펙트핏 마스크 100매</v>
      </c>
      <c r="D34" s="2">
        <f>VLOOKUP(B34,ProductList!A:G,7,0)*SUM(F34:I34)</f>
        <v>270000</v>
      </c>
      <c r="E34">
        <v>24</v>
      </c>
      <c r="F34">
        <v>1</v>
      </c>
      <c r="G34">
        <v>0</v>
      </c>
      <c r="H34">
        <v>4</v>
      </c>
      <c r="I34">
        <v>1</v>
      </c>
    </row>
    <row r="35" spans="1:9" hidden="1">
      <c r="A35">
        <v>34</v>
      </c>
      <c r="B35">
        <v>6</v>
      </c>
      <c r="C35" s="2" t="str">
        <f>VLOOKUP(B35,ProductList!A:B,2,0)</f>
        <v>[SET]뉴비긴 하프집 맨투맨 티셔츠 팬츠 셋업_블랙 트레이닝</v>
      </c>
      <c r="D35" s="2">
        <f>VLOOKUP(B35,ProductList!A:G,7,0)*SUM(F35:I35)</f>
        <v>600000</v>
      </c>
      <c r="E35">
        <v>11</v>
      </c>
      <c r="F35">
        <v>3</v>
      </c>
      <c r="G35">
        <v>0</v>
      </c>
      <c r="H35">
        <v>0</v>
      </c>
      <c r="I35">
        <v>3</v>
      </c>
    </row>
    <row r="36" spans="1:9" hidden="1">
      <c r="A36">
        <v>35</v>
      </c>
      <c r="B36">
        <v>199</v>
      </c>
      <c r="C36" s="2" t="str">
        <f>VLOOKUP(B36,ProductList!A:B,2,0)</f>
        <v>스트라이프 머플러 (블루)</v>
      </c>
      <c r="D36" s="2">
        <f>VLOOKUP(B36,ProductList!A:G,7,0)*SUM(F36:I36)</f>
        <v>160000</v>
      </c>
      <c r="E36">
        <v>29</v>
      </c>
      <c r="F36">
        <v>1</v>
      </c>
      <c r="G36">
        <v>0</v>
      </c>
      <c r="H36">
        <v>3</v>
      </c>
      <c r="I36">
        <v>0</v>
      </c>
    </row>
    <row r="37" spans="1:9" hidden="1">
      <c r="A37">
        <v>36</v>
      </c>
      <c r="B37">
        <v>26</v>
      </c>
      <c r="C37" s="2" t="str">
        <f>VLOOKUP(B37,ProductList!A:B,2,0)</f>
        <v>LINEN CHINO PANTS CHARCOAL</v>
      </c>
      <c r="D37" s="2">
        <f>VLOOKUP(B37,ProductList!A:G,7,0)*SUM(F37:I37)</f>
        <v>665000</v>
      </c>
      <c r="E37">
        <v>25</v>
      </c>
      <c r="F37">
        <v>2</v>
      </c>
      <c r="G37">
        <v>1</v>
      </c>
      <c r="H37">
        <v>3</v>
      </c>
      <c r="I37">
        <v>1</v>
      </c>
    </row>
    <row r="38" spans="1:9" hidden="1">
      <c r="A38">
        <v>37</v>
      </c>
      <c r="B38">
        <v>197</v>
      </c>
      <c r="C38" s="2" t="str">
        <f>VLOOKUP(B38,ProductList!A:B,2,0)</f>
        <v>스트라이프 머플러 (브라운)</v>
      </c>
      <c r="D38" s="2">
        <f>VLOOKUP(B38,ProductList!A:G,7,0)*SUM(F38:I38)</f>
        <v>550000</v>
      </c>
      <c r="E38">
        <v>22</v>
      </c>
      <c r="F38">
        <v>3</v>
      </c>
      <c r="G38">
        <v>1</v>
      </c>
      <c r="H38">
        <v>4</v>
      </c>
      <c r="I38">
        <v>2</v>
      </c>
    </row>
    <row r="39" spans="1:9" hidden="1">
      <c r="A39">
        <v>38</v>
      </c>
      <c r="B39">
        <v>77</v>
      </c>
      <c r="C39" s="2" t="str">
        <f>VLOOKUP(B39,ProductList!A:B,2,0)</f>
        <v>에잇 라운드 썸머와플 반팔 니트가디건 크림</v>
      </c>
      <c r="D39" s="2">
        <f>VLOOKUP(B39,ProductList!A:G,7,0)*SUM(F39:I39)</f>
        <v>315000</v>
      </c>
      <c r="E39">
        <v>8</v>
      </c>
      <c r="F39">
        <v>0</v>
      </c>
      <c r="G39">
        <v>0</v>
      </c>
      <c r="H39">
        <v>3</v>
      </c>
      <c r="I39">
        <v>4</v>
      </c>
    </row>
    <row r="40" spans="1:9" hidden="1">
      <c r="A40">
        <v>39</v>
      </c>
      <c r="B40">
        <v>79</v>
      </c>
      <c r="C40" s="2" t="str">
        <f>VLOOKUP(B40,ProductList!A:B,2,0)</f>
        <v>V NECK BASIC CARDIGAN GRAY</v>
      </c>
      <c r="D40" s="2">
        <f>VLOOKUP(B40,ProductList!A:G,7,0)*SUM(F40:I40)</f>
        <v>540000</v>
      </c>
      <c r="E40">
        <v>5</v>
      </c>
      <c r="F40">
        <v>1</v>
      </c>
      <c r="G40">
        <v>3</v>
      </c>
      <c r="H40">
        <v>4</v>
      </c>
      <c r="I40">
        <v>1</v>
      </c>
    </row>
    <row r="41" spans="1:9" hidden="1">
      <c r="A41">
        <v>40</v>
      </c>
      <c r="B41">
        <v>138</v>
      </c>
      <c r="C41" s="2" t="str">
        <f>VLOOKUP(B41,ProductList!A:B,2,0)</f>
        <v>One Tuck Wide Baker Pants [Black]</v>
      </c>
      <c r="D41" s="2">
        <f>VLOOKUP(B41,ProductList!A:G,7,0)*SUM(F41:I41)</f>
        <v>90000</v>
      </c>
      <c r="E41">
        <v>12</v>
      </c>
      <c r="F41">
        <v>1</v>
      </c>
      <c r="G41">
        <v>0</v>
      </c>
      <c r="H41">
        <v>3</v>
      </c>
      <c r="I41">
        <v>2</v>
      </c>
    </row>
    <row r="42" spans="1:9" hidden="1">
      <c r="A42">
        <v>41</v>
      </c>
      <c r="B42">
        <v>117</v>
      </c>
      <c r="C42" s="2" t="str">
        <f>VLOOKUP(B42,ProductList!A:B,2,0)</f>
        <v>APR8 SKELETON T-SHIRT</v>
      </c>
      <c r="D42" s="2">
        <f>VLOOKUP(B42,ProductList!A:G,7,0)*SUM(F42:I42)</f>
        <v>360000</v>
      </c>
      <c r="E42">
        <v>21</v>
      </c>
      <c r="F42">
        <v>1</v>
      </c>
      <c r="G42">
        <v>3</v>
      </c>
      <c r="H42">
        <v>0</v>
      </c>
      <c r="I42">
        <v>4</v>
      </c>
    </row>
    <row r="43" spans="1:9" hidden="1">
      <c r="A43">
        <v>42</v>
      </c>
      <c r="B43">
        <v>17</v>
      </c>
      <c r="C43" s="2" t="str">
        <f>VLOOKUP(B43,ProductList!A:B,2,0)</f>
        <v>[3PACK]퓨어코튼 24수 롱기장 레이어드 반팔</v>
      </c>
      <c r="D43" s="2">
        <f>VLOOKUP(B43,ProductList!A:G,7,0)*SUM(F43:I43)</f>
        <v>100000</v>
      </c>
      <c r="E43">
        <v>3</v>
      </c>
      <c r="F43">
        <v>0</v>
      </c>
      <c r="G43">
        <v>0</v>
      </c>
      <c r="H43">
        <v>2</v>
      </c>
      <c r="I43">
        <v>0</v>
      </c>
    </row>
    <row r="44" spans="1:9" hidden="1">
      <c r="A44">
        <v>43</v>
      </c>
      <c r="B44">
        <v>150</v>
      </c>
      <c r="C44" s="2" t="str">
        <f>VLOOKUP(B44,ProductList!A:B,2,0)</f>
        <v>4.5cm 라운드토 청키 메리제인 루디(CW0053BK)</v>
      </c>
      <c r="D44" s="2">
        <f>VLOOKUP(B44,ProductList!A:G,7,0)*SUM(F44:I44)</f>
        <v>285000</v>
      </c>
      <c r="E44">
        <v>10</v>
      </c>
      <c r="F44">
        <v>0</v>
      </c>
      <c r="G44">
        <v>0</v>
      </c>
      <c r="H44">
        <v>2</v>
      </c>
      <c r="I44">
        <v>1</v>
      </c>
    </row>
    <row r="45" spans="1:9" hidden="1">
      <c r="A45">
        <v>44</v>
      </c>
      <c r="B45">
        <v>88</v>
      </c>
      <c r="C45" s="2" t="str">
        <f>VLOOKUP(B45,ProductList!A:B,2,0)</f>
        <v>Patchwork denim card wallet</v>
      </c>
      <c r="D45" s="2">
        <f>VLOOKUP(B45,ProductList!A:G,7,0)*SUM(F45:I45)</f>
        <v>200000</v>
      </c>
      <c r="E45">
        <v>25</v>
      </c>
      <c r="F45">
        <v>3</v>
      </c>
      <c r="G45">
        <v>0</v>
      </c>
      <c r="H45">
        <v>0</v>
      </c>
      <c r="I45">
        <v>1</v>
      </c>
    </row>
    <row r="46" spans="1:9" hidden="1">
      <c r="A46">
        <v>45</v>
      </c>
      <c r="B46">
        <v>50</v>
      </c>
      <c r="C46" s="2" t="str">
        <f>VLOOKUP(B46,ProductList!A:B,2,0)</f>
        <v>스틸레토 더블 리본장식 슬링백 412412002</v>
      </c>
      <c r="D46" s="2">
        <f>VLOOKUP(B46,ProductList!A:G,7,0)*SUM(F46:I46)</f>
        <v>140000</v>
      </c>
      <c r="E46">
        <v>26</v>
      </c>
      <c r="F46">
        <v>3</v>
      </c>
      <c r="G46">
        <v>0</v>
      </c>
      <c r="H46">
        <v>1</v>
      </c>
      <c r="I46">
        <v>0</v>
      </c>
    </row>
    <row r="47" spans="1:9" hidden="1">
      <c r="A47">
        <v>46</v>
      </c>
      <c r="B47">
        <v>63</v>
      </c>
      <c r="C47" s="2" t="str">
        <f>VLOOKUP(B47,ProductList!A:B,2,0)</f>
        <v>샤이닝 스타 집업</v>
      </c>
      <c r="D47" s="2">
        <f>VLOOKUP(B47,ProductList!A:G,7,0)*SUM(F47:I47)</f>
        <v>720000</v>
      </c>
      <c r="E47">
        <v>11</v>
      </c>
      <c r="F47">
        <v>2</v>
      </c>
      <c r="G47">
        <v>1</v>
      </c>
      <c r="H47">
        <v>3</v>
      </c>
      <c r="I47">
        <v>2</v>
      </c>
    </row>
    <row r="48" spans="1:9" hidden="1">
      <c r="A48">
        <v>47</v>
      </c>
      <c r="B48">
        <v>198</v>
      </c>
      <c r="C48" s="2" t="str">
        <f>VLOOKUP(B48,ProductList!A:B,2,0)</f>
        <v>Reversible Padded Muffle</v>
      </c>
      <c r="D48" s="2">
        <f>VLOOKUP(B48,ProductList!A:G,7,0)*SUM(F48:I48)</f>
        <v>595000</v>
      </c>
      <c r="E48">
        <v>6</v>
      </c>
      <c r="F48">
        <v>2</v>
      </c>
      <c r="G48">
        <v>3</v>
      </c>
      <c r="H48">
        <v>1</v>
      </c>
      <c r="I48">
        <v>1</v>
      </c>
    </row>
    <row r="49" spans="1:9" hidden="1">
      <c r="A49">
        <v>48</v>
      </c>
      <c r="B49">
        <v>125</v>
      </c>
      <c r="C49" s="2" t="str">
        <f>VLOOKUP(B49,ProductList!A:B,2,0)</f>
        <v>투턱 포켓 와이드 카고 벌룬 밴딩 팬츠</v>
      </c>
      <c r="D49" s="2">
        <f>VLOOKUP(B49,ProductList!A:G,7,0)*SUM(F49:I49)</f>
        <v>60000</v>
      </c>
      <c r="E49">
        <v>14</v>
      </c>
      <c r="F49">
        <v>1</v>
      </c>
      <c r="G49">
        <v>0</v>
      </c>
      <c r="H49">
        <v>0</v>
      </c>
      <c r="I49">
        <v>2</v>
      </c>
    </row>
    <row r="50" spans="1:9" hidden="1">
      <c r="A50">
        <v>49</v>
      </c>
      <c r="B50">
        <v>66</v>
      </c>
      <c r="C50" s="2" t="str">
        <f>VLOOKUP(B50,ProductList!A:B,2,0)</f>
        <v>스탠다드 블루종 스웨이드 자켓 블랙</v>
      </c>
      <c r="D50" s="2">
        <f>VLOOKUP(B50,ProductList!A:G,7,0)*SUM(F50:I50)</f>
        <v>63000</v>
      </c>
      <c r="E50">
        <v>27</v>
      </c>
      <c r="F50">
        <v>0</v>
      </c>
      <c r="G50">
        <v>0</v>
      </c>
      <c r="H50">
        <v>1</v>
      </c>
      <c r="I50">
        <v>0</v>
      </c>
    </row>
    <row r="51" spans="1:9" hidden="1">
      <c r="A51">
        <v>50</v>
      </c>
      <c r="B51">
        <v>136</v>
      </c>
      <c r="C51" s="2" t="str">
        <f>VLOOKUP(B51,ProductList!A:B,2,0)</f>
        <v>캠프 윈드브레이커 조거 팬츠 블랙</v>
      </c>
      <c r="D51" s="2">
        <f>VLOOKUP(B51,ProductList!A:G,7,0)*SUM(F51:I51)</f>
        <v>120000</v>
      </c>
      <c r="E51">
        <v>14</v>
      </c>
      <c r="F51">
        <v>0</v>
      </c>
      <c r="G51">
        <v>2</v>
      </c>
      <c r="H51">
        <v>0</v>
      </c>
      <c r="I51">
        <v>1</v>
      </c>
    </row>
  </sheetData>
  <autoFilter ref="A1:I51">
    <filterColumn colId="4">
      <filters>
        <filter val="1"/>
      </filters>
    </filterColumn>
  </autoFilter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selection activeCell="C2" sqref="C2"/>
    </sheetView>
  </sheetViews>
  <sheetFormatPr defaultRowHeight="14.5"/>
  <sheetData>
    <row r="1" spans="1:3">
      <c r="A1" t="s">
        <v>21</v>
      </c>
      <c r="B1" t="s">
        <v>48</v>
      </c>
      <c r="C1" t="s">
        <v>49</v>
      </c>
    </row>
    <row r="2" spans="1:3">
      <c r="A2">
        <v>1</v>
      </c>
      <c r="B2" t="s">
        <v>23</v>
      </c>
      <c r="C2">
        <v>1</v>
      </c>
    </row>
    <row r="3" spans="1:3">
      <c r="A3">
        <v>2</v>
      </c>
      <c r="B3" t="s">
        <v>24</v>
      </c>
      <c r="C3">
        <v>1</v>
      </c>
    </row>
    <row r="4" spans="1:3">
      <c r="A4">
        <v>3</v>
      </c>
      <c r="B4" t="s">
        <v>25</v>
      </c>
      <c r="C4">
        <v>1</v>
      </c>
    </row>
    <row r="5" spans="1:3">
      <c r="A5">
        <v>4</v>
      </c>
      <c r="B5" t="s">
        <v>26</v>
      </c>
      <c r="C5">
        <v>1</v>
      </c>
    </row>
    <row r="6" spans="1:3">
      <c r="A6">
        <v>5</v>
      </c>
      <c r="B6" t="s">
        <v>27</v>
      </c>
      <c r="C6">
        <v>1</v>
      </c>
    </row>
    <row r="7" spans="1:3">
      <c r="A7">
        <v>6</v>
      </c>
      <c r="B7" t="s">
        <v>28</v>
      </c>
      <c r="C7">
        <v>2</v>
      </c>
    </row>
    <row r="8" spans="1:3">
      <c r="A8">
        <v>7</v>
      </c>
      <c r="B8" t="s">
        <v>29</v>
      </c>
      <c r="C8">
        <v>2</v>
      </c>
    </row>
    <row r="9" spans="1:3">
      <c r="A9">
        <v>8</v>
      </c>
      <c r="B9" t="s">
        <v>30</v>
      </c>
      <c r="C9">
        <v>2</v>
      </c>
    </row>
    <row r="10" spans="1:3">
      <c r="A10">
        <v>9</v>
      </c>
      <c r="B10" t="s">
        <v>31</v>
      </c>
      <c r="C10">
        <v>2</v>
      </c>
    </row>
    <row r="11" spans="1:3">
      <c r="A11">
        <v>10</v>
      </c>
      <c r="B11" t="s">
        <v>32</v>
      </c>
      <c r="C11">
        <v>2</v>
      </c>
    </row>
    <row r="12" spans="1:3">
      <c r="A12">
        <v>11</v>
      </c>
      <c r="B12" t="s">
        <v>33</v>
      </c>
      <c r="C12">
        <v>3</v>
      </c>
    </row>
    <row r="13" spans="1:3">
      <c r="A13">
        <v>12</v>
      </c>
      <c r="B13" t="s">
        <v>34</v>
      </c>
      <c r="C13">
        <v>3</v>
      </c>
    </row>
    <row r="14" spans="1:3">
      <c r="A14">
        <v>13</v>
      </c>
      <c r="B14" t="s">
        <v>35</v>
      </c>
      <c r="C14">
        <v>3</v>
      </c>
    </row>
    <row r="15" spans="1:3">
      <c r="A15">
        <v>14</v>
      </c>
      <c r="B15" t="s">
        <v>36</v>
      </c>
      <c r="C15">
        <v>3</v>
      </c>
    </row>
    <row r="16" spans="1:3">
      <c r="A16">
        <v>15</v>
      </c>
      <c r="B16" t="s">
        <v>37</v>
      </c>
      <c r="C16">
        <v>3</v>
      </c>
    </row>
    <row r="17" spans="1:3">
      <c r="A17">
        <v>16</v>
      </c>
      <c r="B17" t="s">
        <v>38</v>
      </c>
      <c r="C17">
        <v>4</v>
      </c>
    </row>
    <row r="18" spans="1:3">
      <c r="A18">
        <v>17</v>
      </c>
      <c r="B18" t="s">
        <v>39</v>
      </c>
      <c r="C18">
        <v>4</v>
      </c>
    </row>
    <row r="19" spans="1:3">
      <c r="A19">
        <v>18</v>
      </c>
      <c r="B19" t="s">
        <v>40</v>
      </c>
      <c r="C19">
        <v>4</v>
      </c>
    </row>
    <row r="20" spans="1:3">
      <c r="A20">
        <v>19</v>
      </c>
      <c r="B20" t="s">
        <v>41</v>
      </c>
      <c r="C20">
        <v>4</v>
      </c>
    </row>
    <row r="21" spans="1:3">
      <c r="A21">
        <v>20</v>
      </c>
      <c r="B21" t="s">
        <v>42</v>
      </c>
      <c r="C21">
        <v>4</v>
      </c>
    </row>
    <row r="22" spans="1:3">
      <c r="A22">
        <v>21</v>
      </c>
      <c r="B22" t="s">
        <v>43</v>
      </c>
      <c r="C22">
        <v>5</v>
      </c>
    </row>
    <row r="23" spans="1:3">
      <c r="A23">
        <v>22</v>
      </c>
      <c r="B23" t="s">
        <v>44</v>
      </c>
      <c r="C23">
        <v>5</v>
      </c>
    </row>
    <row r="24" spans="1:3">
      <c r="A24">
        <v>23</v>
      </c>
      <c r="B24" t="s">
        <v>45</v>
      </c>
      <c r="C24">
        <v>5</v>
      </c>
    </row>
    <row r="25" spans="1:3">
      <c r="A25">
        <v>24</v>
      </c>
      <c r="B25" t="s">
        <v>46</v>
      </c>
      <c r="C25">
        <v>5</v>
      </c>
    </row>
    <row r="26" spans="1:3">
      <c r="A26">
        <v>25</v>
      </c>
      <c r="B26" t="s">
        <v>47</v>
      </c>
      <c r="C26">
        <v>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selection activeCell="E2" sqref="E2"/>
    </sheetView>
  </sheetViews>
  <sheetFormatPr defaultRowHeight="14.5"/>
  <cols>
    <col min="6" max="6" width="11.1796875" bestFit="1" customWidth="1"/>
  </cols>
  <sheetData>
    <row r="1" spans="1:7">
      <c r="A1" t="s">
        <v>16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</row>
    <row r="2" spans="1:7">
      <c r="A2">
        <v>1</v>
      </c>
      <c r="B2" t="s">
        <v>56</v>
      </c>
      <c r="C2" t="s">
        <v>57</v>
      </c>
      <c r="D2" t="s">
        <v>58</v>
      </c>
      <c r="E2">
        <v>67669</v>
      </c>
      <c r="F2" s="1">
        <v>28112</v>
      </c>
    </row>
    <row r="3" spans="1:7">
      <c r="A3">
        <v>2</v>
      </c>
      <c r="B3" t="s">
        <v>59</v>
      </c>
      <c r="C3" t="s">
        <v>60</v>
      </c>
      <c r="D3" t="s">
        <v>61</v>
      </c>
      <c r="E3">
        <v>38860</v>
      </c>
      <c r="F3" s="1">
        <v>30253</v>
      </c>
    </row>
    <row r="4" spans="1:7">
      <c r="A4">
        <v>3</v>
      </c>
      <c r="B4" t="s">
        <v>62</v>
      </c>
      <c r="C4" t="s">
        <v>63</v>
      </c>
      <c r="D4" t="s">
        <v>64</v>
      </c>
      <c r="E4">
        <v>32748</v>
      </c>
      <c r="F4" s="1">
        <v>36540</v>
      </c>
    </row>
    <row r="5" spans="1:7">
      <c r="A5">
        <v>4</v>
      </c>
      <c r="B5" t="s">
        <v>65</v>
      </c>
      <c r="C5" t="s">
        <v>66</v>
      </c>
      <c r="D5" t="s">
        <v>67</v>
      </c>
      <c r="E5">
        <v>4411</v>
      </c>
      <c r="F5" s="1">
        <v>29441</v>
      </c>
    </row>
    <row r="6" spans="1:7">
      <c r="A6">
        <v>5</v>
      </c>
      <c r="B6" t="s">
        <v>68</v>
      </c>
      <c r="C6" t="s">
        <v>69</v>
      </c>
      <c r="D6" t="s">
        <v>70</v>
      </c>
      <c r="E6">
        <v>19320</v>
      </c>
      <c r="F6" s="1">
        <v>33772</v>
      </c>
    </row>
    <row r="7" spans="1:7">
      <c r="A7">
        <v>6</v>
      </c>
      <c r="B7" t="s">
        <v>71</v>
      </c>
      <c r="C7" t="s">
        <v>72</v>
      </c>
      <c r="D7" t="s">
        <v>73</v>
      </c>
      <c r="E7">
        <v>6620</v>
      </c>
      <c r="F7" s="1">
        <v>40056</v>
      </c>
    </row>
    <row r="8" spans="1:7">
      <c r="A8">
        <v>7</v>
      </c>
      <c r="B8" t="s">
        <v>74</v>
      </c>
      <c r="C8" t="s">
        <v>75</v>
      </c>
      <c r="D8" t="s">
        <v>76</v>
      </c>
      <c r="E8">
        <v>89954</v>
      </c>
      <c r="F8" s="1">
        <v>39000</v>
      </c>
    </row>
    <row r="9" spans="1:7">
      <c r="A9">
        <v>8</v>
      </c>
      <c r="B9" t="s">
        <v>77</v>
      </c>
      <c r="C9" t="s">
        <v>78</v>
      </c>
      <c r="D9" t="s">
        <v>79</v>
      </c>
      <c r="E9">
        <v>37790</v>
      </c>
      <c r="F9" s="1">
        <v>31199</v>
      </c>
    </row>
    <row r="10" spans="1:7">
      <c r="A10">
        <v>9</v>
      </c>
      <c r="B10" t="s">
        <v>80</v>
      </c>
      <c r="C10" t="s">
        <v>81</v>
      </c>
      <c r="D10" t="s">
        <v>82</v>
      </c>
      <c r="E10">
        <v>79230</v>
      </c>
      <c r="F10" s="1">
        <v>34156</v>
      </c>
    </row>
    <row r="11" spans="1:7">
      <c r="A11">
        <v>10</v>
      </c>
      <c r="B11" t="s">
        <v>83</v>
      </c>
      <c r="C11" t="s">
        <v>84</v>
      </c>
      <c r="D11" t="s">
        <v>85</v>
      </c>
      <c r="E11">
        <v>86559</v>
      </c>
      <c r="F11" s="1">
        <v>32425</v>
      </c>
    </row>
    <row r="12" spans="1:7">
      <c r="A12">
        <v>11</v>
      </c>
      <c r="B12" t="s">
        <v>86</v>
      </c>
      <c r="C12" t="s">
        <v>87</v>
      </c>
      <c r="D12" t="s">
        <v>88</v>
      </c>
      <c r="E12">
        <v>94103</v>
      </c>
      <c r="F12" s="1">
        <v>36264</v>
      </c>
    </row>
    <row r="13" spans="1:7">
      <c r="A13">
        <v>12</v>
      </c>
      <c r="B13" t="s">
        <v>89</v>
      </c>
      <c r="C13" t="s">
        <v>90</v>
      </c>
      <c r="D13" t="s">
        <v>91</v>
      </c>
      <c r="E13">
        <v>79198</v>
      </c>
      <c r="F13" s="1">
        <v>38605</v>
      </c>
    </row>
    <row r="14" spans="1:7">
      <c r="A14">
        <v>13</v>
      </c>
      <c r="B14" t="s">
        <v>92</v>
      </c>
      <c r="C14" t="s">
        <v>93</v>
      </c>
      <c r="D14" t="s">
        <v>94</v>
      </c>
      <c r="E14">
        <v>4751</v>
      </c>
      <c r="F14" s="1">
        <v>39672</v>
      </c>
    </row>
    <row r="15" spans="1:7">
      <c r="A15">
        <v>14</v>
      </c>
      <c r="B15" t="s">
        <v>95</v>
      </c>
      <c r="C15" t="s">
        <v>96</v>
      </c>
      <c r="D15" t="s">
        <v>97</v>
      </c>
      <c r="E15">
        <v>88219</v>
      </c>
      <c r="F15" s="1">
        <v>31680</v>
      </c>
    </row>
    <row r="16" spans="1:7">
      <c r="A16">
        <v>15</v>
      </c>
      <c r="B16" t="s">
        <v>98</v>
      </c>
      <c r="C16" t="s">
        <v>99</v>
      </c>
      <c r="D16" t="s">
        <v>100</v>
      </c>
      <c r="E16">
        <v>8204</v>
      </c>
      <c r="F16" s="1">
        <v>35314</v>
      </c>
    </row>
    <row r="17" spans="1:6">
      <c r="A17">
        <v>16</v>
      </c>
      <c r="B17" t="s">
        <v>101</v>
      </c>
      <c r="C17" t="s">
        <v>102</v>
      </c>
      <c r="D17" t="s">
        <v>103</v>
      </c>
      <c r="E17">
        <v>18927</v>
      </c>
      <c r="F17" s="1">
        <v>34819</v>
      </c>
    </row>
    <row r="18" spans="1:6">
      <c r="A18">
        <v>17</v>
      </c>
      <c r="B18" t="s">
        <v>104</v>
      </c>
      <c r="C18" t="s">
        <v>105</v>
      </c>
      <c r="D18" t="s">
        <v>106</v>
      </c>
      <c r="E18">
        <v>2783</v>
      </c>
      <c r="F18" s="1">
        <v>33169</v>
      </c>
    </row>
    <row r="19" spans="1:6">
      <c r="A19">
        <v>18</v>
      </c>
      <c r="B19" t="s">
        <v>107</v>
      </c>
      <c r="C19" t="s">
        <v>108</v>
      </c>
      <c r="D19" t="s">
        <v>109</v>
      </c>
      <c r="E19">
        <v>64831</v>
      </c>
      <c r="F19" s="1">
        <v>37777</v>
      </c>
    </row>
    <row r="20" spans="1:6">
      <c r="A20">
        <v>19</v>
      </c>
      <c r="B20" t="s">
        <v>110</v>
      </c>
      <c r="C20" t="s">
        <v>111</v>
      </c>
      <c r="D20" t="s">
        <v>112</v>
      </c>
      <c r="E20">
        <v>1942</v>
      </c>
      <c r="F20" s="1">
        <v>30087</v>
      </c>
    </row>
    <row r="21" spans="1:6">
      <c r="A21">
        <v>20</v>
      </c>
      <c r="B21" t="s">
        <v>113</v>
      </c>
      <c r="C21" t="s">
        <v>114</v>
      </c>
      <c r="D21" t="s">
        <v>115</v>
      </c>
      <c r="E21">
        <v>77438</v>
      </c>
      <c r="F21" s="1">
        <v>34524</v>
      </c>
    </row>
    <row r="22" spans="1:6">
      <c r="A22">
        <v>21</v>
      </c>
      <c r="B22" t="s">
        <v>116</v>
      </c>
      <c r="C22" t="s">
        <v>117</v>
      </c>
      <c r="D22" t="s">
        <v>118</v>
      </c>
      <c r="E22">
        <v>49978</v>
      </c>
      <c r="F22" s="1">
        <v>36108</v>
      </c>
    </row>
    <row r="23" spans="1:6">
      <c r="A23">
        <v>22</v>
      </c>
      <c r="B23" t="s">
        <v>119</v>
      </c>
      <c r="C23" t="s">
        <v>120</v>
      </c>
      <c r="D23" t="s">
        <v>121</v>
      </c>
      <c r="E23">
        <v>57653</v>
      </c>
      <c r="F23" s="1">
        <v>30413</v>
      </c>
    </row>
    <row r="24" spans="1:6">
      <c r="A24">
        <v>23</v>
      </c>
      <c r="B24" t="s">
        <v>122</v>
      </c>
      <c r="C24" t="s">
        <v>123</v>
      </c>
      <c r="D24" t="s">
        <v>124</v>
      </c>
      <c r="E24">
        <v>37173</v>
      </c>
      <c r="F24" s="1">
        <v>38499</v>
      </c>
    </row>
    <row r="25" spans="1:6">
      <c r="A25">
        <v>24</v>
      </c>
      <c r="B25" t="s">
        <v>125</v>
      </c>
      <c r="C25" t="s">
        <v>126</v>
      </c>
      <c r="D25" t="s">
        <v>127</v>
      </c>
      <c r="E25">
        <v>82303</v>
      </c>
      <c r="F25" s="1">
        <v>29104</v>
      </c>
    </row>
    <row r="26" spans="1:6">
      <c r="A26">
        <v>25</v>
      </c>
      <c r="B26" t="s">
        <v>128</v>
      </c>
      <c r="C26" t="s">
        <v>129</v>
      </c>
      <c r="D26" t="s">
        <v>130</v>
      </c>
      <c r="E26">
        <v>92754</v>
      </c>
      <c r="F26" s="1">
        <v>39054</v>
      </c>
    </row>
    <row r="27" spans="1:6">
      <c r="A27">
        <v>26</v>
      </c>
      <c r="B27" t="s">
        <v>131</v>
      </c>
      <c r="C27" t="s">
        <v>132</v>
      </c>
      <c r="D27" t="s">
        <v>133</v>
      </c>
      <c r="E27">
        <v>16114</v>
      </c>
      <c r="F27" s="1">
        <v>39118</v>
      </c>
    </row>
    <row r="28" spans="1:6">
      <c r="A28">
        <v>27</v>
      </c>
      <c r="B28" t="s">
        <v>134</v>
      </c>
      <c r="C28" t="s">
        <v>135</v>
      </c>
      <c r="D28" t="s">
        <v>136</v>
      </c>
      <c r="E28">
        <v>51609</v>
      </c>
      <c r="F28" s="1">
        <v>32864</v>
      </c>
    </row>
    <row r="29" spans="1:6">
      <c r="A29">
        <v>28</v>
      </c>
      <c r="B29" t="s">
        <v>137</v>
      </c>
      <c r="C29" t="s">
        <v>138</v>
      </c>
      <c r="D29" t="s">
        <v>139</v>
      </c>
      <c r="E29">
        <v>5504</v>
      </c>
      <c r="F29" s="1">
        <v>34372</v>
      </c>
    </row>
    <row r="30" spans="1:6">
      <c r="A30">
        <v>29</v>
      </c>
      <c r="B30" t="s">
        <v>140</v>
      </c>
      <c r="C30" t="s">
        <v>141</v>
      </c>
      <c r="D30" t="s">
        <v>142</v>
      </c>
      <c r="E30">
        <v>23627</v>
      </c>
      <c r="F30" s="1">
        <v>33657</v>
      </c>
    </row>
    <row r="31" spans="1:6">
      <c r="A31">
        <v>30</v>
      </c>
      <c r="B31" t="s">
        <v>143</v>
      </c>
      <c r="C31" t="s">
        <v>144</v>
      </c>
      <c r="D31" t="s">
        <v>145</v>
      </c>
      <c r="E31">
        <v>62618</v>
      </c>
      <c r="F31" s="1">
        <v>37134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Category</vt:lpstr>
      <vt:lpstr>ProductList</vt:lpstr>
      <vt:lpstr>Purchase</vt:lpstr>
      <vt:lpstr>Review</vt:lpstr>
      <vt:lpstr>Sheet1</vt:lpstr>
      <vt:lpstr>SaleList</vt:lpstr>
      <vt:lpstr>ShoppingBasket</vt:lpstr>
      <vt:lpstr>SubCategory</vt:lpstr>
      <vt:lpstr>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승현</dc:creator>
  <cp:lastModifiedBy>user</cp:lastModifiedBy>
  <dcterms:created xsi:type="dcterms:W3CDTF">2025-02-26T07:34:56Z</dcterms:created>
  <dcterms:modified xsi:type="dcterms:W3CDTF">2025-04-07T03:55:21Z</dcterms:modified>
</cp:coreProperties>
</file>